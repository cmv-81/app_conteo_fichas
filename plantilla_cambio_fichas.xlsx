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laud\Downloads\fichas\app_conteo_fichas\"/>
    </mc:Choice>
  </mc:AlternateContent>
  <xr:revisionPtr revIDLastSave="0" documentId="13_ncr:1_{AE944CE9-BAB4-48CA-AA19-F6EBC20C413F}" xr6:coauthVersionLast="47" xr6:coauthVersionMax="47" xr10:uidLastSave="{00000000-0000-0000-0000-000000000000}"/>
  <bookViews>
    <workbookView xWindow="-108" yWindow="-108" windowWidth="23256" windowHeight="12456" activeTab="2" xr2:uid="{00000000-000D-0000-FFFF-FFFF00000000}"/>
  </bookViews>
  <sheets>
    <sheet name="INSTRUCCIONES" sheetId="1" r:id="rId1"/>
    <sheet name="CONFIGURACIÓN" sheetId="2" r:id="rId2"/>
    <sheet name="CAMBIOS" sheetId="3" r:id="rId3"/>
    <sheet name="CALC_SUGERENCIA" sheetId="4" state="hidden" r:id="rId4"/>
    <sheet name="DATOS_PYTHON" sheetId="5" r:id="rId5"/>
  </sheets>
  <definedNames>
    <definedName name="Bebida_1">CONFIGURACIÓN!$C$5</definedName>
    <definedName name="Bebida_2">CONFIGURACIÓN!$C$6</definedName>
    <definedName name="Bebida_3">CONFIGURACIÓN!$C$7</definedName>
    <definedName name="Color_1">CONFIGURACIÓN!$D$5</definedName>
    <definedName name="Color_2">CONFIGURACIÓN!$D$6</definedName>
    <definedName name="Color_3">CONFIGURACIÓN!$D$7</definedName>
    <definedName name="Importe_1">CONFIGURACIÓN!$B$10</definedName>
    <definedName name="Importe_2">CONFIGURACIÓN!$B$11</definedName>
    <definedName name="Importe_3">CONFIGURACIÓN!$B$12</definedName>
    <definedName name="Importe_4">CONFIGURACIÓN!$B$13</definedName>
    <definedName name="Importe_5">CONFIGURACIÓN!$B$14</definedName>
    <definedName name="Precio_vaso">CONFIGURACIÓN!$B$23</definedName>
    <definedName name="Texto_pie">CONFIGURACIÓN!$B$20</definedName>
    <definedName name="Texto_subtitulo">CONFIGURACIÓN!$B$18</definedName>
    <definedName name="Texto_tabla">CONFIGURACIÓN!$B$19</definedName>
    <definedName name="Texto_titulo">CONFIGURACIÓN!$B$17</definedName>
    <definedName name="Valor_1">CONFIGURACIÓN!$B$5</definedName>
    <definedName name="Valor_2">CONFIGURACIÓN!$B$6</definedName>
    <definedName name="Valor_3">CONFIGURACIÓN!$B$7</definedName>
  </definedNames>
  <calcPr calcId="191029"/>
</workbook>
</file>

<file path=xl/calcChain.xml><?xml version="1.0" encoding="utf-8"?>
<calcChain xmlns="http://schemas.openxmlformats.org/spreadsheetml/2006/main">
  <c r="I34" i="5" l="1"/>
  <c r="H34" i="5"/>
  <c r="G34" i="5"/>
  <c r="I33" i="5"/>
  <c r="H33" i="5"/>
  <c r="G33" i="5"/>
  <c r="I32" i="5"/>
  <c r="H32" i="5"/>
  <c r="G32" i="5"/>
  <c r="I31" i="5"/>
  <c r="H31" i="5"/>
  <c r="G31" i="5"/>
  <c r="I30" i="5"/>
  <c r="H30" i="5"/>
  <c r="G30" i="5"/>
  <c r="I29" i="5"/>
  <c r="H29" i="5"/>
  <c r="G29" i="5"/>
  <c r="I28" i="5"/>
  <c r="H28" i="5"/>
  <c r="G28" i="5"/>
  <c r="I27" i="5"/>
  <c r="H27" i="5"/>
  <c r="G27" i="5"/>
  <c r="I26" i="5"/>
  <c r="H26" i="5"/>
  <c r="G26" i="5"/>
  <c r="I25" i="5"/>
  <c r="H25" i="5"/>
  <c r="G25" i="5"/>
  <c r="I24" i="5"/>
  <c r="H24" i="5"/>
  <c r="G24" i="5"/>
  <c r="I23" i="5"/>
  <c r="H23" i="5"/>
  <c r="G23" i="5"/>
  <c r="I22" i="5"/>
  <c r="H22" i="5"/>
  <c r="G22" i="5"/>
  <c r="I21" i="5"/>
  <c r="H21" i="5"/>
  <c r="G21" i="5"/>
  <c r="I20" i="5"/>
  <c r="H20" i="5"/>
  <c r="G20" i="5"/>
  <c r="I19" i="5"/>
  <c r="H19" i="5"/>
  <c r="G19" i="5"/>
  <c r="I18" i="5"/>
  <c r="H18" i="5"/>
  <c r="G18" i="5"/>
  <c r="B18" i="5"/>
  <c r="I17" i="5"/>
  <c r="H17" i="5"/>
  <c r="G17" i="5"/>
  <c r="B17" i="5"/>
  <c r="I16" i="5"/>
  <c r="H16" i="5"/>
  <c r="G16" i="5"/>
  <c r="B16" i="5"/>
  <c r="I15" i="5"/>
  <c r="H15" i="5"/>
  <c r="G15" i="5"/>
  <c r="B15" i="5"/>
  <c r="I14" i="5"/>
  <c r="H14" i="5"/>
  <c r="G14" i="5"/>
  <c r="B14" i="5"/>
  <c r="I13" i="5"/>
  <c r="H13" i="5"/>
  <c r="G13" i="5"/>
  <c r="B13" i="5"/>
  <c r="I12" i="5"/>
  <c r="H12" i="5"/>
  <c r="G12" i="5"/>
  <c r="B12" i="5"/>
  <c r="I11" i="5"/>
  <c r="H11" i="5"/>
  <c r="G11" i="5"/>
  <c r="B11" i="5"/>
  <c r="I10" i="5"/>
  <c r="H10" i="5"/>
  <c r="G10" i="5"/>
  <c r="B10" i="5"/>
  <c r="I9" i="5"/>
  <c r="H9" i="5"/>
  <c r="G9" i="5"/>
  <c r="B9" i="5"/>
  <c r="I8" i="5"/>
  <c r="H8" i="5"/>
  <c r="G8" i="5"/>
  <c r="B8" i="5"/>
  <c r="I7" i="5"/>
  <c r="H7" i="5"/>
  <c r="G7" i="5"/>
  <c r="B7" i="5"/>
  <c r="I6" i="5"/>
  <c r="H6" i="5"/>
  <c r="G6" i="5"/>
  <c r="B6" i="5"/>
  <c r="I5" i="5"/>
  <c r="H5" i="5"/>
  <c r="G5" i="5"/>
  <c r="B5" i="5"/>
  <c r="D34" i="4"/>
  <c r="D33" i="4"/>
  <c r="B33" i="4"/>
  <c r="D32" i="4"/>
  <c r="C32" i="4" s="1"/>
  <c r="D31" i="4"/>
  <c r="G31" i="4" s="1"/>
  <c r="G30" i="4"/>
  <c r="D30" i="4"/>
  <c r="D29" i="4"/>
  <c r="D28" i="4"/>
  <c r="B28" i="4" s="1"/>
  <c r="D27" i="4"/>
  <c r="D26" i="4"/>
  <c r="B26" i="4"/>
  <c r="D25" i="4"/>
  <c r="C25" i="4" s="1"/>
  <c r="B25" i="4"/>
  <c r="D24" i="4"/>
  <c r="D23" i="4"/>
  <c r="G23" i="4" s="1"/>
  <c r="C23" i="4"/>
  <c r="B23" i="4"/>
  <c r="D22" i="4"/>
  <c r="C22" i="4" s="1"/>
  <c r="B22" i="4"/>
  <c r="D21" i="4"/>
  <c r="C21" i="4" s="1"/>
  <c r="D20" i="4"/>
  <c r="C20" i="4"/>
  <c r="D19" i="4"/>
  <c r="G19" i="4" s="1"/>
  <c r="C19" i="4"/>
  <c r="B19" i="4"/>
  <c r="D18" i="4"/>
  <c r="C18" i="4" s="1"/>
  <c r="D17" i="4"/>
  <c r="C17" i="4" s="1"/>
  <c r="D16" i="4"/>
  <c r="D15" i="4"/>
  <c r="D14" i="4"/>
  <c r="C14" i="4"/>
  <c r="D13" i="4"/>
  <c r="G13" i="4" s="1"/>
  <c r="D12" i="4"/>
  <c r="C12" i="4" s="1"/>
  <c r="D11" i="4"/>
  <c r="D10" i="4"/>
  <c r="B10" i="4"/>
  <c r="D9" i="4"/>
  <c r="D8" i="4"/>
  <c r="D7" i="4"/>
  <c r="G6" i="4"/>
  <c r="D6" i="4"/>
  <c r="B6" i="4"/>
  <c r="D5" i="4"/>
  <c r="G5" i="4" s="1"/>
  <c r="U34" i="3"/>
  <c r="T34" i="3"/>
  <c r="S34" i="3"/>
  <c r="I34" i="3" s="1"/>
  <c r="B34" i="3"/>
  <c r="F34" i="5" s="1"/>
  <c r="A34" i="3"/>
  <c r="H34" i="3" s="1"/>
  <c r="U33" i="3"/>
  <c r="T33" i="3"/>
  <c r="S33" i="3"/>
  <c r="B33" i="3"/>
  <c r="F33" i="5" s="1"/>
  <c r="A33" i="3"/>
  <c r="U32" i="3"/>
  <c r="T32" i="3"/>
  <c r="S32" i="3"/>
  <c r="F32" i="3" s="1"/>
  <c r="B32" i="3"/>
  <c r="F32" i="5" s="1"/>
  <c r="A32" i="3"/>
  <c r="U31" i="3"/>
  <c r="T31" i="3"/>
  <c r="S31" i="3"/>
  <c r="B31" i="3"/>
  <c r="F31" i="5" s="1"/>
  <c r="A31" i="3"/>
  <c r="U30" i="3"/>
  <c r="T30" i="3"/>
  <c r="S30" i="3"/>
  <c r="B30" i="3"/>
  <c r="F30" i="5" s="1"/>
  <c r="A30" i="3"/>
  <c r="U29" i="3"/>
  <c r="T29" i="3"/>
  <c r="S29" i="3"/>
  <c r="D29" i="3" s="1"/>
  <c r="B29" i="3"/>
  <c r="F29" i="5" s="1"/>
  <c r="A29" i="3"/>
  <c r="U28" i="3"/>
  <c r="T28" i="3"/>
  <c r="S28" i="3"/>
  <c r="F28" i="3"/>
  <c r="B28" i="3"/>
  <c r="F28" i="5" s="1"/>
  <c r="A28" i="3"/>
  <c r="U27" i="3"/>
  <c r="T27" i="3"/>
  <c r="S27" i="3"/>
  <c r="I27" i="3" s="1"/>
  <c r="B27" i="3"/>
  <c r="F27" i="5" s="1"/>
  <c r="A27" i="3"/>
  <c r="U26" i="3"/>
  <c r="T26" i="3"/>
  <c r="S26" i="3"/>
  <c r="B26" i="3"/>
  <c r="F26" i="5" s="1"/>
  <c r="A26" i="3"/>
  <c r="U25" i="3"/>
  <c r="T25" i="3"/>
  <c r="S25" i="3"/>
  <c r="I25" i="3" s="1"/>
  <c r="B25" i="3"/>
  <c r="F25" i="5" s="1"/>
  <c r="A25" i="3"/>
  <c r="U24" i="3"/>
  <c r="T24" i="3"/>
  <c r="S24" i="3"/>
  <c r="B24" i="3"/>
  <c r="F24" i="5" s="1"/>
  <c r="A24" i="3"/>
  <c r="U23" i="3"/>
  <c r="T23" i="3"/>
  <c r="S23" i="3"/>
  <c r="I23" i="3" s="1"/>
  <c r="B23" i="3"/>
  <c r="F23" i="5" s="1"/>
  <c r="A23" i="3"/>
  <c r="U22" i="3"/>
  <c r="T22" i="3"/>
  <c r="S22" i="3"/>
  <c r="B22" i="3"/>
  <c r="F22" i="5" s="1"/>
  <c r="A22" i="3"/>
  <c r="U21" i="3"/>
  <c r="T21" i="3"/>
  <c r="S21" i="3"/>
  <c r="D21" i="3" s="1"/>
  <c r="B21" i="3"/>
  <c r="F21" i="5" s="1"/>
  <c r="A21" i="3"/>
  <c r="U20" i="3"/>
  <c r="T20" i="3"/>
  <c r="S20" i="3"/>
  <c r="F20" i="3" s="1"/>
  <c r="I20" i="3"/>
  <c r="B20" i="3"/>
  <c r="F20" i="5" s="1"/>
  <c r="A20" i="3"/>
  <c r="U19" i="3"/>
  <c r="T19" i="3"/>
  <c r="S19" i="3"/>
  <c r="B19" i="3"/>
  <c r="F19" i="5" s="1"/>
  <c r="A19" i="3"/>
  <c r="U18" i="3"/>
  <c r="T18" i="3"/>
  <c r="S18" i="3"/>
  <c r="I18" i="3"/>
  <c r="B18" i="3"/>
  <c r="F18" i="5" s="1"/>
  <c r="A18" i="3"/>
  <c r="U17" i="3"/>
  <c r="T17" i="3"/>
  <c r="S17" i="3"/>
  <c r="B17" i="3"/>
  <c r="F17" i="5" s="1"/>
  <c r="A17" i="3"/>
  <c r="U16" i="3"/>
  <c r="T16" i="3"/>
  <c r="S16" i="3"/>
  <c r="H16" i="3" s="1"/>
  <c r="I16" i="3"/>
  <c r="B16" i="3"/>
  <c r="F16" i="5" s="1"/>
  <c r="A16" i="3"/>
  <c r="U15" i="3"/>
  <c r="T15" i="3"/>
  <c r="S15" i="3"/>
  <c r="D15" i="3" s="1"/>
  <c r="B15" i="3"/>
  <c r="F15" i="5" s="1"/>
  <c r="A15" i="3"/>
  <c r="U14" i="3"/>
  <c r="T14" i="3"/>
  <c r="S14" i="3"/>
  <c r="B14" i="3"/>
  <c r="F14" i="5" s="1"/>
  <c r="A14" i="3"/>
  <c r="U13" i="3"/>
  <c r="T13" i="3"/>
  <c r="S13" i="3"/>
  <c r="I13" i="3" s="1"/>
  <c r="B13" i="3"/>
  <c r="F13" i="5" s="1"/>
  <c r="A13" i="3"/>
  <c r="U12" i="3"/>
  <c r="T12" i="3"/>
  <c r="S12" i="3"/>
  <c r="B12" i="3"/>
  <c r="F12" i="5" s="1"/>
  <c r="A12" i="3"/>
  <c r="U11" i="3"/>
  <c r="T11" i="3"/>
  <c r="S11" i="3"/>
  <c r="I11" i="3"/>
  <c r="D11" i="3"/>
  <c r="B11" i="3"/>
  <c r="F11" i="5" s="1"/>
  <c r="A11" i="3"/>
  <c r="U10" i="3"/>
  <c r="T10" i="3"/>
  <c r="S10" i="3"/>
  <c r="K10" i="3" s="1"/>
  <c r="J10" i="5" s="1"/>
  <c r="B10" i="3"/>
  <c r="F10" i="5" s="1"/>
  <c r="A10" i="3"/>
  <c r="U9" i="3"/>
  <c r="T9" i="3"/>
  <c r="S9" i="3"/>
  <c r="H9" i="3" s="1"/>
  <c r="I9" i="3"/>
  <c r="B9" i="3"/>
  <c r="F9" i="5" s="1"/>
  <c r="A9" i="3"/>
  <c r="D9" i="5" s="1"/>
  <c r="U8" i="3"/>
  <c r="T8" i="3"/>
  <c r="S8" i="3"/>
  <c r="B8" i="3"/>
  <c r="F8" i="5" s="1"/>
  <c r="A8" i="3"/>
  <c r="D8" i="3" s="1"/>
  <c r="U7" i="3"/>
  <c r="T7" i="3"/>
  <c r="S7" i="3"/>
  <c r="B7" i="3"/>
  <c r="F7" i="5" s="1"/>
  <c r="A7" i="3"/>
  <c r="U6" i="3"/>
  <c r="T6" i="3"/>
  <c r="S6" i="3"/>
  <c r="F6" i="3" s="1"/>
  <c r="B6" i="3"/>
  <c r="F6" i="5" s="1"/>
  <c r="A6" i="3"/>
  <c r="D6" i="5" s="1"/>
  <c r="U5" i="3"/>
  <c r="T5" i="3"/>
  <c r="S5" i="3"/>
  <c r="B5" i="3"/>
  <c r="F5" i="5" s="1"/>
  <c r="A5" i="3"/>
  <c r="D5" i="5" s="1"/>
  <c r="H4" i="3"/>
  <c r="G4" i="3"/>
  <c r="F4" i="3"/>
  <c r="E4" i="3"/>
  <c r="D4" i="3"/>
  <c r="C4" i="3"/>
  <c r="G17" i="4" l="1"/>
  <c r="L10" i="3"/>
  <c r="K10" i="5" s="1"/>
  <c r="M10" i="3"/>
  <c r="C5" i="4"/>
  <c r="B21" i="4"/>
  <c r="B32" i="4"/>
  <c r="F18" i="3"/>
  <c r="J18" i="3" s="1"/>
  <c r="H27" i="3"/>
  <c r="H31" i="3"/>
  <c r="H13" i="3"/>
  <c r="F16" i="3"/>
  <c r="J16" i="3" s="1"/>
  <c r="B17" i="4"/>
  <c r="F12" i="3"/>
  <c r="J12" i="3" s="1"/>
  <c r="D17" i="5"/>
  <c r="A17" i="4"/>
  <c r="HS17" i="4" s="1"/>
  <c r="I17" i="3"/>
  <c r="D26" i="5"/>
  <c r="A26" i="4"/>
  <c r="I26" i="3"/>
  <c r="D26" i="3"/>
  <c r="I22" i="3"/>
  <c r="H22" i="3"/>
  <c r="J29" i="3"/>
  <c r="K29" i="3" s="1"/>
  <c r="J29" i="5" s="1"/>
  <c r="I29" i="3"/>
  <c r="D33" i="5"/>
  <c r="A33" i="4"/>
  <c r="I33" i="3"/>
  <c r="D33" i="3"/>
  <c r="J33" i="3" s="1"/>
  <c r="D24" i="5"/>
  <c r="A24" i="4"/>
  <c r="C9" i="4"/>
  <c r="I8" i="3"/>
  <c r="F8" i="3"/>
  <c r="J8" i="3" s="1"/>
  <c r="I24" i="3"/>
  <c r="F24" i="3"/>
  <c r="J24" i="3" s="1"/>
  <c r="J31" i="3"/>
  <c r="I31" i="3"/>
  <c r="EN9" i="4"/>
  <c r="AS9" i="4"/>
  <c r="B9" i="4"/>
  <c r="AO9" i="4" s="1"/>
  <c r="HM9" i="4"/>
  <c r="J6" i="3"/>
  <c r="I6" i="3"/>
  <c r="D10" i="5"/>
  <c r="A10" i="4"/>
  <c r="H10" i="3"/>
  <c r="J10" i="3"/>
  <c r="I10" i="3"/>
  <c r="F10" i="3"/>
  <c r="N10" i="3"/>
  <c r="J15" i="3"/>
  <c r="K15" i="3" s="1"/>
  <c r="J15" i="5" s="1"/>
  <c r="I15" i="3"/>
  <c r="H15" i="3"/>
  <c r="D19" i="5"/>
  <c r="A19" i="4"/>
  <c r="I19" i="3"/>
  <c r="F22" i="3"/>
  <c r="J22" i="3" s="1"/>
  <c r="K22" i="3" s="1"/>
  <c r="J22" i="5" s="1"/>
  <c r="C8" i="4"/>
  <c r="B8" i="4"/>
  <c r="K9" i="3"/>
  <c r="J9" i="5" s="1"/>
  <c r="J11" i="3"/>
  <c r="K11" i="3" s="1"/>
  <c r="J11" i="5" s="1"/>
  <c r="D12" i="5"/>
  <c r="A12" i="4"/>
  <c r="J13" i="3"/>
  <c r="D14" i="5"/>
  <c r="A14" i="4"/>
  <c r="K16" i="3"/>
  <c r="K18" i="3"/>
  <c r="D21" i="5"/>
  <c r="A21" i="4"/>
  <c r="D28" i="5"/>
  <c r="A28" i="4"/>
  <c r="A5" i="4"/>
  <c r="AM5" i="4" s="1"/>
  <c r="D7" i="5"/>
  <c r="A7" i="4"/>
  <c r="K13" i="3"/>
  <c r="J13" i="5" s="1"/>
  <c r="D17" i="3"/>
  <c r="J17" i="3" s="1"/>
  <c r="K17" i="3" s="1"/>
  <c r="J17" i="5" s="1"/>
  <c r="H19" i="3"/>
  <c r="J19" i="3" s="1"/>
  <c r="K19" i="3" s="1"/>
  <c r="J19" i="5" s="1"/>
  <c r="F26" i="3"/>
  <c r="J26" i="3" s="1"/>
  <c r="D30" i="5"/>
  <c r="A30" i="4"/>
  <c r="D32" i="5"/>
  <c r="A32" i="4"/>
  <c r="H33" i="3"/>
  <c r="B5" i="4"/>
  <c r="S5" i="4"/>
  <c r="AA5" i="4"/>
  <c r="CM5" i="4"/>
  <c r="CU5" i="4"/>
  <c r="FG5" i="4"/>
  <c r="FO5" i="4"/>
  <c r="IA5" i="4"/>
  <c r="II5" i="4"/>
  <c r="D23" i="5"/>
  <c r="A23" i="4"/>
  <c r="D25" i="5"/>
  <c r="A25" i="4"/>
  <c r="A6" i="4"/>
  <c r="C7" i="4"/>
  <c r="B7" i="4"/>
  <c r="HM7" i="4" s="1"/>
  <c r="FU7" i="4"/>
  <c r="D14" i="3"/>
  <c r="I12" i="3"/>
  <c r="F14" i="3"/>
  <c r="J14" i="3" s="1"/>
  <c r="D18" i="5"/>
  <c r="A18" i="4"/>
  <c r="D20" i="5"/>
  <c r="A20" i="4"/>
  <c r="H21" i="3"/>
  <c r="J21" i="3" s="1"/>
  <c r="D27" i="5"/>
  <c r="A27" i="4"/>
  <c r="H28" i="3"/>
  <c r="J28" i="3" s="1"/>
  <c r="K28" i="3" s="1"/>
  <c r="J28" i="5" s="1"/>
  <c r="F30" i="3"/>
  <c r="J30" i="3" s="1"/>
  <c r="K30" i="3" s="1"/>
  <c r="J30" i="5" s="1"/>
  <c r="D32" i="3"/>
  <c r="J32" i="3" s="1"/>
  <c r="K32" i="3" s="1"/>
  <c r="J32" i="5" s="1"/>
  <c r="D34" i="5"/>
  <c r="A34" i="4"/>
  <c r="M5" i="4"/>
  <c r="U5" i="4"/>
  <c r="CG5" i="4"/>
  <c r="CO5" i="4"/>
  <c r="FA5" i="4"/>
  <c r="FI5" i="4"/>
  <c r="HU5" i="4"/>
  <c r="IK5" i="4"/>
  <c r="CH6" i="4"/>
  <c r="IP6" i="4"/>
  <c r="EN7" i="4"/>
  <c r="D9" i="3"/>
  <c r="J9" i="3" s="1"/>
  <c r="D13" i="5"/>
  <c r="A13" i="4"/>
  <c r="I14" i="3"/>
  <c r="I21" i="3"/>
  <c r="D23" i="3"/>
  <c r="J23" i="3" s="1"/>
  <c r="K23" i="3" s="1"/>
  <c r="J23" i="5" s="1"/>
  <c r="H25" i="3"/>
  <c r="J25" i="3" s="1"/>
  <c r="K25" i="3" s="1"/>
  <c r="J25" i="5" s="1"/>
  <c r="I28" i="3"/>
  <c r="I30" i="3"/>
  <c r="AL5" i="4"/>
  <c r="AT5" i="4"/>
  <c r="CX5" i="4"/>
  <c r="DF5" i="4"/>
  <c r="FJ5" i="4"/>
  <c r="FR5" i="4"/>
  <c r="HV5" i="4"/>
  <c r="ID5" i="4"/>
  <c r="C6" i="4"/>
  <c r="HW6" i="4" s="1"/>
  <c r="AB6" i="4"/>
  <c r="BZ6" i="4"/>
  <c r="FM6" i="4"/>
  <c r="GQ6" i="4"/>
  <c r="A9" i="4"/>
  <c r="D16" i="5"/>
  <c r="A16" i="4"/>
  <c r="D5" i="3"/>
  <c r="J5" i="3" s="1"/>
  <c r="H7" i="3"/>
  <c r="J7" i="3" s="1"/>
  <c r="I5" i="3"/>
  <c r="I7" i="3"/>
  <c r="D11" i="5"/>
  <c r="A11" i="4"/>
  <c r="D8" i="5"/>
  <c r="A8" i="4"/>
  <c r="D15" i="5"/>
  <c r="A15" i="4"/>
  <c r="D20" i="3"/>
  <c r="J20" i="3" s="1"/>
  <c r="D22" i="5"/>
  <c r="A22" i="4"/>
  <c r="D27" i="3"/>
  <c r="J27" i="3" s="1"/>
  <c r="K27" i="3" s="1"/>
  <c r="J27" i="5" s="1"/>
  <c r="D29" i="5"/>
  <c r="A29" i="4"/>
  <c r="D31" i="5"/>
  <c r="A31" i="4"/>
  <c r="I32" i="3"/>
  <c r="F34" i="3"/>
  <c r="J34" i="3" s="1"/>
  <c r="W5" i="4"/>
  <c r="AE5" i="4"/>
  <c r="CI5" i="4"/>
  <c r="CQ5" i="4"/>
  <c r="EU5" i="4"/>
  <c r="FC5" i="4"/>
  <c r="HG5" i="4"/>
  <c r="HO5" i="4"/>
  <c r="IC6" i="4"/>
  <c r="HE6" i="4"/>
  <c r="EK6" i="4"/>
  <c r="EC6" i="4"/>
  <c r="AS6" i="4"/>
  <c r="BA6" i="4"/>
  <c r="FE6" i="4"/>
  <c r="FW6" i="4"/>
  <c r="G7" i="4"/>
  <c r="FP21" i="4"/>
  <c r="GP12" i="4"/>
  <c r="GH12" i="4"/>
  <c r="GR12" i="4"/>
  <c r="FL12" i="4"/>
  <c r="FU12" i="4"/>
  <c r="EY12" i="4"/>
  <c r="EX12" i="4"/>
  <c r="EN12" i="4"/>
  <c r="G12" i="4"/>
  <c r="FF12" i="4"/>
  <c r="U12" i="4"/>
  <c r="BC12" i="4"/>
  <c r="DX10" i="4"/>
  <c r="L12" i="4"/>
  <c r="AE10" i="4"/>
  <c r="GK10" i="4"/>
  <c r="AF10" i="4"/>
  <c r="DG12" i="4"/>
  <c r="EW12" i="4"/>
  <c r="IM10" i="4"/>
  <c r="C11" i="4"/>
  <c r="B11" i="4"/>
  <c r="FW11" i="4" s="1"/>
  <c r="G11" i="4"/>
  <c r="B12" i="4"/>
  <c r="AI12" i="4"/>
  <c r="DR10" i="4"/>
  <c r="DZ10" i="4"/>
  <c r="C15" i="4"/>
  <c r="B16" i="4"/>
  <c r="DB16" i="4" s="1"/>
  <c r="IT17" i="4"/>
  <c r="IK17" i="4"/>
  <c r="IB17" i="4"/>
  <c r="GZ17" i="4"/>
  <c r="GQ17" i="4"/>
  <c r="FY17" i="4"/>
  <c r="FP17" i="4"/>
  <c r="FH17" i="4"/>
  <c r="EJ17" i="4"/>
  <c r="EB17" i="4"/>
  <c r="DL17" i="4"/>
  <c r="DD17" i="4"/>
  <c r="CV17" i="4"/>
  <c r="BX17" i="4"/>
  <c r="BP17" i="4"/>
  <c r="AZ17" i="4"/>
  <c r="AR17" i="4"/>
  <c r="AJ17" i="4"/>
  <c r="L17" i="4"/>
  <c r="HO17" i="4"/>
  <c r="GW17" i="4"/>
  <c r="GN17" i="4"/>
  <c r="GE17" i="4"/>
  <c r="FV17" i="4"/>
  <c r="FE17" i="4"/>
  <c r="EW17" i="4"/>
  <c r="EG17" i="4"/>
  <c r="DY17" i="4"/>
  <c r="DQ17" i="4"/>
  <c r="DI17" i="4"/>
  <c r="CS17" i="4"/>
  <c r="CK17" i="4"/>
  <c r="CC17" i="4"/>
  <c r="BU17" i="4"/>
  <c r="BM17" i="4"/>
  <c r="BE17" i="4"/>
  <c r="AW17" i="4"/>
  <c r="AO17" i="4"/>
  <c r="AG17" i="4"/>
  <c r="Y17" i="4"/>
  <c r="Q17" i="4"/>
  <c r="IE17" i="4"/>
  <c r="HE17" i="4"/>
  <c r="GG17" i="4"/>
  <c r="FK17" i="4"/>
  <c r="EN17" i="4"/>
  <c r="DS17" i="4"/>
  <c r="CY17" i="4"/>
  <c r="CB17" i="4"/>
  <c r="BG17" i="4"/>
  <c r="AM17" i="4"/>
  <c r="P17" i="4"/>
  <c r="IY17" i="4"/>
  <c r="IA17" i="4"/>
  <c r="HD17" i="4"/>
  <c r="GD17" i="4"/>
  <c r="FG17" i="4"/>
  <c r="EM17" i="4"/>
  <c r="DP17" i="4"/>
  <c r="CU17" i="4"/>
  <c r="CA17" i="4"/>
  <c r="BD17" i="4"/>
  <c r="AI17" i="4"/>
  <c r="O17" i="4"/>
  <c r="IX17" i="4"/>
  <c r="HW17" i="4"/>
  <c r="GY17" i="4"/>
  <c r="GB17" i="4"/>
  <c r="FD17" i="4"/>
  <c r="EI17" i="4"/>
  <c r="DO17" i="4"/>
  <c r="CR17" i="4"/>
  <c r="BW17" i="4"/>
  <c r="BC17" i="4"/>
  <c r="AF17" i="4"/>
  <c r="K17" i="4"/>
  <c r="IS17" i="4"/>
  <c r="HV17" i="4"/>
  <c r="IP17" i="4"/>
  <c r="HR17" i="4"/>
  <c r="GU17" i="4"/>
  <c r="FT17" i="4"/>
  <c r="EY17" i="4"/>
  <c r="EE17" i="4"/>
  <c r="DH17" i="4"/>
  <c r="CM17" i="4"/>
  <c r="BS17" i="4"/>
  <c r="AV17" i="4"/>
  <c r="AA17" i="4"/>
  <c r="AN17" i="4"/>
  <c r="CE17" i="4"/>
  <c r="DW17" i="4"/>
  <c r="FL17" i="4"/>
  <c r="HH17" i="4"/>
  <c r="II21" i="4"/>
  <c r="B15" i="4"/>
  <c r="HX15" i="4" s="1"/>
  <c r="CZ16" i="4"/>
  <c r="BD16" i="4"/>
  <c r="EE16" i="4"/>
  <c r="EB16" i="4"/>
  <c r="CV16" i="4"/>
  <c r="C16" i="4"/>
  <c r="GU16" i="4"/>
  <c r="BN16" i="4"/>
  <c r="FU16" i="4"/>
  <c r="Z16" i="4"/>
  <c r="DJ16" i="4"/>
  <c r="FJ16" i="4"/>
  <c r="GP16" i="4"/>
  <c r="IG21" i="4"/>
  <c r="HG21" i="4"/>
  <c r="GG21" i="4"/>
  <c r="FN21" i="4"/>
  <c r="EQ21" i="4"/>
  <c r="DT21" i="4"/>
  <c r="DB21" i="4"/>
  <c r="CE21" i="4"/>
  <c r="BH21" i="4"/>
  <c r="AP21" i="4"/>
  <c r="S21" i="4"/>
  <c r="IA21" i="4"/>
  <c r="HF21" i="4"/>
  <c r="GF21" i="4"/>
  <c r="FH21" i="4"/>
  <c r="EP21" i="4"/>
  <c r="DS21" i="4"/>
  <c r="CV21" i="4"/>
  <c r="CD21" i="4"/>
  <c r="BG21" i="4"/>
  <c r="AJ21" i="4"/>
  <c r="R21" i="4"/>
  <c r="HY21" i="4"/>
  <c r="GY21" i="4"/>
  <c r="GE21" i="4"/>
  <c r="FG21" i="4"/>
  <c r="EJ21" i="4"/>
  <c r="DR21" i="4"/>
  <c r="CU21" i="4"/>
  <c r="BX21" i="4"/>
  <c r="BF21" i="4"/>
  <c r="AI21" i="4"/>
  <c r="L21" i="4"/>
  <c r="IS21" i="4"/>
  <c r="HX21" i="4"/>
  <c r="GX21" i="4"/>
  <c r="FX21" i="4"/>
  <c r="FF21" i="4"/>
  <c r="EI21" i="4"/>
  <c r="DL21" i="4"/>
  <c r="CT21" i="4"/>
  <c r="BW21" i="4"/>
  <c r="AZ21" i="4"/>
  <c r="AH21" i="4"/>
  <c r="K21" i="4"/>
  <c r="IR21" i="4"/>
  <c r="HQ21" i="4"/>
  <c r="GW21" i="4"/>
  <c r="FW21" i="4"/>
  <c r="EZ21" i="4"/>
  <c r="EH21" i="4"/>
  <c r="DK21" i="4"/>
  <c r="CN21" i="4"/>
  <c r="BV21" i="4"/>
  <c r="AY21" i="4"/>
  <c r="AB21" i="4"/>
  <c r="J21" i="4"/>
  <c r="HP21" i="4"/>
  <c r="EB21" i="4"/>
  <c r="AX21" i="4"/>
  <c r="HO21" i="4"/>
  <c r="EA21" i="4"/>
  <c r="AR21" i="4"/>
  <c r="GP21" i="4"/>
  <c r="DJ21" i="4"/>
  <c r="AA21" i="4"/>
  <c r="GO21" i="4"/>
  <c r="DD21" i="4"/>
  <c r="Z21" i="4"/>
  <c r="FV21" i="4"/>
  <c r="CM21" i="4"/>
  <c r="IJ21" i="4"/>
  <c r="C10" i="4"/>
  <c r="P10" i="4" s="1"/>
  <c r="AR10" i="4"/>
  <c r="AZ10" i="4"/>
  <c r="BX10" i="4"/>
  <c r="DD10" i="4"/>
  <c r="DL10" i="4"/>
  <c r="DT10" i="4"/>
  <c r="EZ10" i="4"/>
  <c r="FX10" i="4"/>
  <c r="GN10" i="4"/>
  <c r="GV10" i="4"/>
  <c r="HT10" i="4"/>
  <c r="IR10" i="4"/>
  <c r="AT13" i="4"/>
  <c r="CT13" i="4"/>
  <c r="IQ14" i="4"/>
  <c r="II14" i="4"/>
  <c r="GM14" i="4"/>
  <c r="EI14" i="4"/>
  <c r="DS14" i="4"/>
  <c r="CE14" i="4"/>
  <c r="AI14" i="4"/>
  <c r="K14" i="4"/>
  <c r="B14" i="4"/>
  <c r="GU14" i="4" s="1"/>
  <c r="IP14" i="4"/>
  <c r="GL14" i="4"/>
  <c r="GD14" i="4"/>
  <c r="FV14" i="4"/>
  <c r="EP14" i="4"/>
  <c r="DB14" i="4"/>
  <c r="CD14" i="4"/>
  <c r="BV14" i="4"/>
  <c r="BF14" i="4"/>
  <c r="AX14" i="4"/>
  <c r="IX14" i="4"/>
  <c r="IG14" i="4"/>
  <c r="HY14" i="4"/>
  <c r="HI14" i="4"/>
  <c r="HA14" i="4"/>
  <c r="EW14" i="4"/>
  <c r="EO14" i="4"/>
  <c r="EG14" i="4"/>
  <c r="DQ14" i="4"/>
  <c r="DI14" i="4"/>
  <c r="BM14" i="4"/>
  <c r="AW14" i="4"/>
  <c r="AO14" i="4"/>
  <c r="Q14" i="4"/>
  <c r="IV14" i="4"/>
  <c r="GY14" i="4"/>
  <c r="GI14" i="4"/>
  <c r="GA14" i="4"/>
  <c r="FS14" i="4"/>
  <c r="FK14" i="4"/>
  <c r="P14" i="4"/>
  <c r="AD14" i="4"/>
  <c r="AR14" i="4"/>
  <c r="BC14" i="4"/>
  <c r="CB14" i="4"/>
  <c r="ED14" i="4"/>
  <c r="ET14" i="4"/>
  <c r="FJ14" i="4"/>
  <c r="GP14" i="4"/>
  <c r="HF14" i="4"/>
  <c r="EG15" i="4"/>
  <c r="FG15" i="4"/>
  <c r="CE16" i="4"/>
  <c r="DE16" i="4"/>
  <c r="EG16" i="4"/>
  <c r="FM16" i="4"/>
  <c r="HY16" i="4"/>
  <c r="IR17" i="4"/>
  <c r="AU17" i="4"/>
  <c r="CJ17" i="4"/>
  <c r="EA17" i="4"/>
  <c r="FS17" i="4"/>
  <c r="HN17" i="4"/>
  <c r="IQ21" i="4"/>
  <c r="M10" i="4"/>
  <c r="AS10" i="4"/>
  <c r="BA10" i="4"/>
  <c r="BI10" i="4"/>
  <c r="BQ10" i="4"/>
  <c r="CO10" i="4"/>
  <c r="DM10" i="4"/>
  <c r="DU10" i="4"/>
  <c r="EC10" i="4"/>
  <c r="EK10" i="4"/>
  <c r="FI10" i="4"/>
  <c r="GG10" i="4"/>
  <c r="GO10" i="4"/>
  <c r="GW10" i="4"/>
  <c r="HM10" i="4"/>
  <c r="IC10" i="4"/>
  <c r="IK10" i="4"/>
  <c r="IK13" i="4"/>
  <c r="HU13" i="4"/>
  <c r="HT13" i="4"/>
  <c r="HD13" i="4"/>
  <c r="EB13" i="4"/>
  <c r="DD13" i="4"/>
  <c r="AB13" i="4"/>
  <c r="T13" i="4"/>
  <c r="C13" i="4"/>
  <c r="HC13" i="4"/>
  <c r="GU13" i="4"/>
  <c r="DS13" i="4"/>
  <c r="DK13" i="4"/>
  <c r="AQ13" i="4"/>
  <c r="AI13" i="4"/>
  <c r="B13" i="4"/>
  <c r="AU13" i="4"/>
  <c r="BE13" i="4"/>
  <c r="DG13" i="4"/>
  <c r="EW13" i="4"/>
  <c r="GD13" i="4"/>
  <c r="HQ13" i="4"/>
  <c r="T14" i="4"/>
  <c r="AS14" i="4"/>
  <c r="BD14" i="4"/>
  <c r="BR14" i="4"/>
  <c r="CF14" i="4"/>
  <c r="CQ14" i="4"/>
  <c r="DE14" i="4"/>
  <c r="DP14" i="4"/>
  <c r="EV14" i="4"/>
  <c r="FL14" i="4"/>
  <c r="GB14" i="4"/>
  <c r="GR14" i="4"/>
  <c r="HH14" i="4"/>
  <c r="HX14" i="4"/>
  <c r="IN14" i="4"/>
  <c r="EJ15" i="4"/>
  <c r="J16" i="4"/>
  <c r="AI16" i="4"/>
  <c r="BI16" i="4"/>
  <c r="CH16" i="4"/>
  <c r="EK16" i="4"/>
  <c r="FQ16" i="4"/>
  <c r="GW16" i="4"/>
  <c r="IC16" i="4"/>
  <c r="AY17" i="4"/>
  <c r="CQ17" i="4"/>
  <c r="EF17" i="4"/>
  <c r="FX17" i="4"/>
  <c r="IF17" i="4"/>
  <c r="BO21" i="4"/>
  <c r="IQ22" i="4"/>
  <c r="N10" i="4"/>
  <c r="V10" i="4"/>
  <c r="AD10" i="4"/>
  <c r="AL10" i="4"/>
  <c r="BB10" i="4"/>
  <c r="BJ10" i="4"/>
  <c r="BR10" i="4"/>
  <c r="BZ10" i="4"/>
  <c r="CH10" i="4"/>
  <c r="CP10" i="4"/>
  <c r="CX10" i="4"/>
  <c r="DN10" i="4"/>
  <c r="DV10" i="4"/>
  <c r="ED10" i="4"/>
  <c r="EL10" i="4"/>
  <c r="ET10" i="4"/>
  <c r="FB10" i="4"/>
  <c r="FJ10" i="4"/>
  <c r="FZ10" i="4"/>
  <c r="GH10" i="4"/>
  <c r="GP10" i="4"/>
  <c r="GX10" i="4"/>
  <c r="HF10" i="4"/>
  <c r="HN10" i="4"/>
  <c r="HV10" i="4"/>
  <c r="IL10" i="4"/>
  <c r="AL13" i="4"/>
  <c r="CL13" i="4"/>
  <c r="CX13" i="4"/>
  <c r="ED13" i="4"/>
  <c r="GH13" i="4"/>
  <c r="GS13" i="4"/>
  <c r="IF13" i="4"/>
  <c r="U14" i="4"/>
  <c r="AF14" i="4"/>
  <c r="AT14" i="4"/>
  <c r="BH14" i="4"/>
  <c r="BS14" i="4"/>
  <c r="CG14" i="4"/>
  <c r="CR14" i="4"/>
  <c r="DT14" i="4"/>
  <c r="EJ14" i="4"/>
  <c r="EZ14" i="4"/>
  <c r="FP14" i="4"/>
  <c r="GF14" i="4"/>
  <c r="GV14" i="4"/>
  <c r="HL14" i="4"/>
  <c r="IS14" i="4"/>
  <c r="GO15" i="4"/>
  <c r="Q16" i="4"/>
  <c r="AP16" i="4"/>
  <c r="CO16" i="4"/>
  <c r="DN16" i="4"/>
  <c r="ES16" i="4"/>
  <c r="FY16" i="4"/>
  <c r="HE16" i="4"/>
  <c r="IK16" i="4"/>
  <c r="S17" i="4"/>
  <c r="BK17" i="4"/>
  <c r="CZ17" i="4"/>
  <c r="EQ17" i="4"/>
  <c r="GL17" i="4"/>
  <c r="IJ17" i="4"/>
  <c r="BP21" i="4"/>
  <c r="HX17" i="4"/>
  <c r="IH17" i="4"/>
  <c r="IQ17" i="4"/>
  <c r="GO18" i="4"/>
  <c r="GZ18" i="4"/>
  <c r="IR19" i="4"/>
  <c r="IJ19" i="4"/>
  <c r="IB19" i="4"/>
  <c r="HT19" i="4"/>
  <c r="HL19" i="4"/>
  <c r="GV19" i="4"/>
  <c r="GN19" i="4"/>
  <c r="GF19" i="4"/>
  <c r="IY19" i="4"/>
  <c r="IQ19" i="4"/>
  <c r="II19" i="4"/>
  <c r="IA19" i="4"/>
  <c r="HK19" i="4"/>
  <c r="HC19" i="4"/>
  <c r="GU19" i="4"/>
  <c r="GM19" i="4"/>
  <c r="IX19" i="4"/>
  <c r="IP19" i="4"/>
  <c r="IH19" i="4"/>
  <c r="HR19" i="4"/>
  <c r="HJ19" i="4"/>
  <c r="HB19" i="4"/>
  <c r="GT19" i="4"/>
  <c r="GL19" i="4"/>
  <c r="GD19" i="4"/>
  <c r="FV19" i="4"/>
  <c r="FF19" i="4"/>
  <c r="EX19" i="4"/>
  <c r="EP19" i="4"/>
  <c r="EH19" i="4"/>
  <c r="DZ19" i="4"/>
  <c r="DR19" i="4"/>
  <c r="DJ19" i="4"/>
  <c r="CT19" i="4"/>
  <c r="CL19" i="4"/>
  <c r="CD19" i="4"/>
  <c r="BV19" i="4"/>
  <c r="BN19" i="4"/>
  <c r="BF19" i="4"/>
  <c r="AX19" i="4"/>
  <c r="AH19" i="4"/>
  <c r="Z19" i="4"/>
  <c r="R19" i="4"/>
  <c r="J19" i="4"/>
  <c r="L19" i="4"/>
  <c r="W19" i="4"/>
  <c r="AG19" i="4"/>
  <c r="BC19" i="4"/>
  <c r="BM19" i="4"/>
  <c r="BX19" i="4"/>
  <c r="CI19" i="4"/>
  <c r="CS19" i="4"/>
  <c r="DD19" i="4"/>
  <c r="DO19" i="4"/>
  <c r="EJ19" i="4"/>
  <c r="EU19" i="4"/>
  <c r="FE19" i="4"/>
  <c r="FP19" i="4"/>
  <c r="GA19" i="4"/>
  <c r="GP19" i="4"/>
  <c r="HF19" i="4"/>
  <c r="IL19" i="4"/>
  <c r="M22" i="4"/>
  <c r="AM22" i="4"/>
  <c r="BX22" i="4"/>
  <c r="DI22" i="4"/>
  <c r="ES22" i="4"/>
  <c r="GH22" i="4"/>
  <c r="IG22" i="4"/>
  <c r="J17" i="4"/>
  <c r="R17" i="4"/>
  <c r="Z17" i="4"/>
  <c r="AH17" i="4"/>
  <c r="AP17" i="4"/>
  <c r="AX17" i="4"/>
  <c r="BF17" i="4"/>
  <c r="BN17" i="4"/>
  <c r="BV17" i="4"/>
  <c r="CD17" i="4"/>
  <c r="CL17" i="4"/>
  <c r="CT17" i="4"/>
  <c r="DB17" i="4"/>
  <c r="DJ17" i="4"/>
  <c r="DR17" i="4"/>
  <c r="DZ17" i="4"/>
  <c r="EH17" i="4"/>
  <c r="EP17" i="4"/>
  <c r="EX17" i="4"/>
  <c r="FF17" i="4"/>
  <c r="FN17" i="4"/>
  <c r="FW17" i="4"/>
  <c r="GF17" i="4"/>
  <c r="GO17" i="4"/>
  <c r="GX17" i="4"/>
  <c r="HG17" i="4"/>
  <c r="HP17" i="4"/>
  <c r="HZ17" i="4"/>
  <c r="II17" i="4"/>
  <c r="B18" i="4"/>
  <c r="DH18" i="4" s="1"/>
  <c r="CZ18" i="4"/>
  <c r="FL18" i="4"/>
  <c r="N19" i="4"/>
  <c r="X19" i="4"/>
  <c r="AI19" i="4"/>
  <c r="AT19" i="4"/>
  <c r="BD19" i="4"/>
  <c r="BO19" i="4"/>
  <c r="BZ19" i="4"/>
  <c r="CU19" i="4"/>
  <c r="DF19" i="4"/>
  <c r="DP19" i="4"/>
  <c r="EA19" i="4"/>
  <c r="EL19" i="4"/>
  <c r="EV19" i="4"/>
  <c r="FG19" i="4"/>
  <c r="GB19" i="4"/>
  <c r="GQ19" i="4"/>
  <c r="HG19" i="4"/>
  <c r="HW19" i="4"/>
  <c r="IM19" i="4"/>
  <c r="B20" i="4"/>
  <c r="DC20" i="4" s="1"/>
  <c r="CL20" i="4"/>
  <c r="EG20" i="4"/>
  <c r="HP20" i="4"/>
  <c r="HH20" i="4"/>
  <c r="P20" i="4"/>
  <c r="IU20" i="4"/>
  <c r="BC20" i="4"/>
  <c r="AM20" i="4"/>
  <c r="T22" i="4"/>
  <c r="AU22" i="4"/>
  <c r="CF22" i="4"/>
  <c r="DQ22" i="4"/>
  <c r="FA22" i="4"/>
  <c r="GS22" i="4"/>
  <c r="IS19" i="4"/>
  <c r="EM18" i="4"/>
  <c r="EE18" i="4"/>
  <c r="BK18" i="4"/>
  <c r="IB18" i="4"/>
  <c r="FX18" i="4"/>
  <c r="CJ18" i="4"/>
  <c r="FN18" i="4"/>
  <c r="FW18" i="4"/>
  <c r="AA19" i="4"/>
  <c r="AL19" i="4"/>
  <c r="AV19" i="4"/>
  <c r="BG19" i="4"/>
  <c r="BR19" i="4"/>
  <c r="CB19" i="4"/>
  <c r="CM19" i="4"/>
  <c r="CX19" i="4"/>
  <c r="DH19" i="4"/>
  <c r="DS19" i="4"/>
  <c r="ED19" i="4"/>
  <c r="EN19" i="4"/>
  <c r="EY19" i="4"/>
  <c r="FJ19" i="4"/>
  <c r="FT19" i="4"/>
  <c r="GE19" i="4"/>
  <c r="GS19" i="4"/>
  <c r="HI19" i="4"/>
  <c r="HY19" i="4"/>
  <c r="IO19" i="4"/>
  <c r="IS22" i="4"/>
  <c r="IH22" i="4"/>
  <c r="HT22" i="4"/>
  <c r="HI22" i="4"/>
  <c r="GU22" i="4"/>
  <c r="GK22" i="4"/>
  <c r="FY22" i="4"/>
  <c r="FO22" i="4"/>
  <c r="FE22" i="4"/>
  <c r="ET22" i="4"/>
  <c r="EK22" i="4"/>
  <c r="EB22" i="4"/>
  <c r="DS22" i="4"/>
  <c r="DJ22" i="4"/>
  <c r="DA22" i="4"/>
  <c r="CQ22" i="4"/>
  <c r="CH22" i="4"/>
  <c r="BY22" i="4"/>
  <c r="BP22" i="4"/>
  <c r="BG22" i="4"/>
  <c r="AX22" i="4"/>
  <c r="AO22" i="4"/>
  <c r="V22" i="4"/>
  <c r="BE22" i="4"/>
  <c r="CO22" i="4"/>
  <c r="DZ22" i="4"/>
  <c r="FM22" i="4"/>
  <c r="HD22" i="4"/>
  <c r="IW17" i="4"/>
  <c r="IO17" i="4"/>
  <c r="IG17" i="4"/>
  <c r="HY17" i="4"/>
  <c r="HQ17" i="4"/>
  <c r="HI17" i="4"/>
  <c r="HA17" i="4"/>
  <c r="GS17" i="4"/>
  <c r="GK17" i="4"/>
  <c r="GC17" i="4"/>
  <c r="FU17" i="4"/>
  <c r="M17" i="4"/>
  <c r="U17" i="4"/>
  <c r="AC17" i="4"/>
  <c r="AK17" i="4"/>
  <c r="AS17" i="4"/>
  <c r="BA17" i="4"/>
  <c r="BI17" i="4"/>
  <c r="BQ17" i="4"/>
  <c r="BY17" i="4"/>
  <c r="CG17" i="4"/>
  <c r="CO17" i="4"/>
  <c r="CW17" i="4"/>
  <c r="DE17" i="4"/>
  <c r="DM17" i="4"/>
  <c r="DU17" i="4"/>
  <c r="EC17" i="4"/>
  <c r="EK17" i="4"/>
  <c r="ES17" i="4"/>
  <c r="FA17" i="4"/>
  <c r="FI17" i="4"/>
  <c r="FQ17" i="4"/>
  <c r="FZ17" i="4"/>
  <c r="GI17" i="4"/>
  <c r="GR17" i="4"/>
  <c r="HB17" i="4"/>
  <c r="HK17" i="4"/>
  <c r="HT17" i="4"/>
  <c r="IC17" i="4"/>
  <c r="IL17" i="4"/>
  <c r="IU17" i="4"/>
  <c r="AZ18" i="4"/>
  <c r="BI18" i="4"/>
  <c r="BR18" i="4"/>
  <c r="DU18" i="4"/>
  <c r="ED18" i="4"/>
  <c r="EN18" i="4"/>
  <c r="GT18" i="4"/>
  <c r="HE18" i="4"/>
  <c r="HP18" i="4"/>
  <c r="Q19" i="4"/>
  <c r="AB19" i="4"/>
  <c r="AM19" i="4"/>
  <c r="AW19" i="4"/>
  <c r="BH19" i="4"/>
  <c r="BS19" i="4"/>
  <c r="CC19" i="4"/>
  <c r="CN19" i="4"/>
  <c r="CY19" i="4"/>
  <c r="DI19" i="4"/>
  <c r="DT19" i="4"/>
  <c r="EE19" i="4"/>
  <c r="EO19" i="4"/>
  <c r="EZ19" i="4"/>
  <c r="FK19" i="4"/>
  <c r="FU19" i="4"/>
  <c r="GH19" i="4"/>
  <c r="GX19" i="4"/>
  <c r="HN19" i="4"/>
  <c r="ID19" i="4"/>
  <c r="IT19" i="4"/>
  <c r="AC22" i="4"/>
  <c r="BF22" i="4"/>
  <c r="CP22" i="4"/>
  <c r="EA22" i="4"/>
  <c r="FN22" i="4"/>
  <c r="HE22" i="4"/>
  <c r="IW25" i="4"/>
  <c r="N17" i="4"/>
  <c r="V17" i="4"/>
  <c r="AD17" i="4"/>
  <c r="AL17" i="4"/>
  <c r="AT17" i="4"/>
  <c r="BB17" i="4"/>
  <c r="BJ17" i="4"/>
  <c r="BR17" i="4"/>
  <c r="BZ17" i="4"/>
  <c r="CH17" i="4"/>
  <c r="CP17" i="4"/>
  <c r="CX17" i="4"/>
  <c r="DF17" i="4"/>
  <c r="DN17" i="4"/>
  <c r="DV17" i="4"/>
  <c r="ED17" i="4"/>
  <c r="EL17" i="4"/>
  <c r="ET17" i="4"/>
  <c r="FB17" i="4"/>
  <c r="FJ17" i="4"/>
  <c r="FR17" i="4"/>
  <c r="GA17" i="4"/>
  <c r="GJ17" i="4"/>
  <c r="GT17" i="4"/>
  <c r="HC17" i="4"/>
  <c r="HL17" i="4"/>
  <c r="HU17" i="4"/>
  <c r="ID17" i="4"/>
  <c r="IM17" i="4"/>
  <c r="IV17" i="4"/>
  <c r="G18" i="4"/>
  <c r="AR18" i="4"/>
  <c r="BA18" i="4"/>
  <c r="BJ18" i="4"/>
  <c r="DM18" i="4"/>
  <c r="DV18" i="4"/>
  <c r="EF18" i="4"/>
  <c r="GK18" i="4"/>
  <c r="GU18" i="4"/>
  <c r="HF18" i="4"/>
  <c r="S19" i="4"/>
  <c r="AD19" i="4"/>
  <c r="AN19" i="4"/>
  <c r="AY19" i="4"/>
  <c r="BJ19" i="4"/>
  <c r="BT19" i="4"/>
  <c r="CE19" i="4"/>
  <c r="CP19" i="4"/>
  <c r="CZ19" i="4"/>
  <c r="DK19" i="4"/>
  <c r="DV19" i="4"/>
  <c r="EF19" i="4"/>
  <c r="EQ19" i="4"/>
  <c r="FB19" i="4"/>
  <c r="FL19" i="4"/>
  <c r="FW19" i="4"/>
  <c r="GI19" i="4"/>
  <c r="GY19" i="4"/>
  <c r="HO19" i="4"/>
  <c r="IE19" i="4"/>
  <c r="IU19" i="4"/>
  <c r="T21" i="4"/>
  <c r="AQ21" i="4"/>
  <c r="BN21" i="4"/>
  <c r="CF21" i="4"/>
  <c r="DC21" i="4"/>
  <c r="DZ21" i="4"/>
  <c r="ER21" i="4"/>
  <c r="FO21" i="4"/>
  <c r="GN21" i="4"/>
  <c r="HH21" i="4"/>
  <c r="AD22" i="4"/>
  <c r="BN22" i="4"/>
  <c r="CX22" i="4"/>
  <c r="EI22" i="4"/>
  <c r="FW22" i="4"/>
  <c r="HR22" i="4"/>
  <c r="IT23" i="4"/>
  <c r="IX21" i="4"/>
  <c r="IP21" i="4"/>
  <c r="IH21" i="4"/>
  <c r="HZ21" i="4"/>
  <c r="HR21" i="4"/>
  <c r="HJ21" i="4"/>
  <c r="HB21" i="4"/>
  <c r="GT21" i="4"/>
  <c r="GL21" i="4"/>
  <c r="GD21" i="4"/>
  <c r="M21" i="4"/>
  <c r="U21" i="4"/>
  <c r="AC21" i="4"/>
  <c r="AK21" i="4"/>
  <c r="AS21" i="4"/>
  <c r="BA21" i="4"/>
  <c r="BI21" i="4"/>
  <c r="BQ21" i="4"/>
  <c r="BY21" i="4"/>
  <c r="CG21" i="4"/>
  <c r="CO21" i="4"/>
  <c r="CW21" i="4"/>
  <c r="DE21" i="4"/>
  <c r="DM21" i="4"/>
  <c r="DU21" i="4"/>
  <c r="EC21" i="4"/>
  <c r="EK21" i="4"/>
  <c r="ES21" i="4"/>
  <c r="FA21" i="4"/>
  <c r="FI21" i="4"/>
  <c r="FQ21" i="4"/>
  <c r="FY21" i="4"/>
  <c r="GH21" i="4"/>
  <c r="GQ21" i="4"/>
  <c r="GZ21" i="4"/>
  <c r="HI21" i="4"/>
  <c r="HS21" i="4"/>
  <c r="IB21" i="4"/>
  <c r="IK21" i="4"/>
  <c r="IT21" i="4"/>
  <c r="IV22" i="4"/>
  <c r="IN22" i="4"/>
  <c r="IF22" i="4"/>
  <c r="HX22" i="4"/>
  <c r="HP22" i="4"/>
  <c r="HH22" i="4"/>
  <c r="GZ22" i="4"/>
  <c r="GR22" i="4"/>
  <c r="GJ22" i="4"/>
  <c r="GB22" i="4"/>
  <c r="FT22" i="4"/>
  <c r="FL22" i="4"/>
  <c r="FD22" i="4"/>
  <c r="EV22" i="4"/>
  <c r="EN22" i="4"/>
  <c r="EF22" i="4"/>
  <c r="DX22" i="4"/>
  <c r="DP22" i="4"/>
  <c r="DH22" i="4"/>
  <c r="CZ22" i="4"/>
  <c r="CR22" i="4"/>
  <c r="CJ22" i="4"/>
  <c r="CB22" i="4"/>
  <c r="BT22" i="4"/>
  <c r="BL22" i="4"/>
  <c r="BD22" i="4"/>
  <c r="AV22" i="4"/>
  <c r="AN22" i="4"/>
  <c r="AF22" i="4"/>
  <c r="X22" i="4"/>
  <c r="P22" i="4"/>
  <c r="IU22" i="4"/>
  <c r="IM22" i="4"/>
  <c r="IE22" i="4"/>
  <c r="HW22" i="4"/>
  <c r="HO22" i="4"/>
  <c r="HG22" i="4"/>
  <c r="GY22" i="4"/>
  <c r="GQ22" i="4"/>
  <c r="GI22" i="4"/>
  <c r="GA22" i="4"/>
  <c r="FS22" i="4"/>
  <c r="FK22" i="4"/>
  <c r="FC22" i="4"/>
  <c r="IT22" i="4"/>
  <c r="IL22" i="4"/>
  <c r="ID22" i="4"/>
  <c r="HV22" i="4"/>
  <c r="HN22" i="4"/>
  <c r="HF22" i="4"/>
  <c r="GX22" i="4"/>
  <c r="N22" i="4"/>
  <c r="W22" i="4"/>
  <c r="AG22" i="4"/>
  <c r="AP22" i="4"/>
  <c r="AY22" i="4"/>
  <c r="BH22" i="4"/>
  <c r="BQ22" i="4"/>
  <c r="BZ22" i="4"/>
  <c r="CI22" i="4"/>
  <c r="CS22" i="4"/>
  <c r="DB22" i="4"/>
  <c r="DK22" i="4"/>
  <c r="DT22" i="4"/>
  <c r="EC22" i="4"/>
  <c r="EL22" i="4"/>
  <c r="EU22" i="4"/>
  <c r="FF22" i="4"/>
  <c r="FP22" i="4"/>
  <c r="FZ22" i="4"/>
  <c r="GL22" i="4"/>
  <c r="GV22" i="4"/>
  <c r="HJ22" i="4"/>
  <c r="HU22" i="4"/>
  <c r="II22" i="4"/>
  <c r="IW22" i="4"/>
  <c r="N21" i="4"/>
  <c r="V21" i="4"/>
  <c r="AD21" i="4"/>
  <c r="AL21" i="4"/>
  <c r="AT21" i="4"/>
  <c r="BB21" i="4"/>
  <c r="BJ21" i="4"/>
  <c r="BR21" i="4"/>
  <c r="BZ21" i="4"/>
  <c r="CH21" i="4"/>
  <c r="CP21" i="4"/>
  <c r="CX21" i="4"/>
  <c r="DF21" i="4"/>
  <c r="DN21" i="4"/>
  <c r="DV21" i="4"/>
  <c r="ED21" i="4"/>
  <c r="EL21" i="4"/>
  <c r="ET21" i="4"/>
  <c r="FB21" i="4"/>
  <c r="FJ21" i="4"/>
  <c r="FR21" i="4"/>
  <c r="FZ21" i="4"/>
  <c r="GI21" i="4"/>
  <c r="GR21" i="4"/>
  <c r="HA21" i="4"/>
  <c r="HK21" i="4"/>
  <c r="HT21" i="4"/>
  <c r="IC21" i="4"/>
  <c r="IL21" i="4"/>
  <c r="IU21" i="4"/>
  <c r="O22" i="4"/>
  <c r="Y22" i="4"/>
  <c r="AH22" i="4"/>
  <c r="AQ22" i="4"/>
  <c r="AZ22" i="4"/>
  <c r="BI22" i="4"/>
  <c r="BR22" i="4"/>
  <c r="CA22" i="4"/>
  <c r="CK22" i="4"/>
  <c r="CT22" i="4"/>
  <c r="DC22" i="4"/>
  <c r="DL22" i="4"/>
  <c r="DU22" i="4"/>
  <c r="ED22" i="4"/>
  <c r="EM22" i="4"/>
  <c r="EW22" i="4"/>
  <c r="FG22" i="4"/>
  <c r="FQ22" i="4"/>
  <c r="GC22" i="4"/>
  <c r="GM22" i="4"/>
  <c r="GW22" i="4"/>
  <c r="HK22" i="4"/>
  <c r="HY22" i="4"/>
  <c r="IJ22" i="4"/>
  <c r="IX22" i="4"/>
  <c r="O21" i="4"/>
  <c r="W21" i="4"/>
  <c r="AE21" i="4"/>
  <c r="AM21" i="4"/>
  <c r="AU21" i="4"/>
  <c r="BC21" i="4"/>
  <c r="BK21" i="4"/>
  <c r="BS21" i="4"/>
  <c r="CA21" i="4"/>
  <c r="CI21" i="4"/>
  <c r="CQ21" i="4"/>
  <c r="CY21" i="4"/>
  <c r="DG21" i="4"/>
  <c r="DO21" i="4"/>
  <c r="DW21" i="4"/>
  <c r="EE21" i="4"/>
  <c r="EM21" i="4"/>
  <c r="EU21" i="4"/>
  <c r="FC21" i="4"/>
  <c r="FK21" i="4"/>
  <c r="FS21" i="4"/>
  <c r="GA21" i="4"/>
  <c r="GJ21" i="4"/>
  <c r="GS21" i="4"/>
  <c r="HC21" i="4"/>
  <c r="HL21" i="4"/>
  <c r="HU21" i="4"/>
  <c r="ID21" i="4"/>
  <c r="IM21" i="4"/>
  <c r="IV21" i="4"/>
  <c r="Q22" i="4"/>
  <c r="Z22" i="4"/>
  <c r="AI22" i="4"/>
  <c r="AR22" i="4"/>
  <c r="BA22" i="4"/>
  <c r="BJ22" i="4"/>
  <c r="BS22" i="4"/>
  <c r="CC22" i="4"/>
  <c r="CL22" i="4"/>
  <c r="CU22" i="4"/>
  <c r="DD22" i="4"/>
  <c r="DM22" i="4"/>
  <c r="DV22" i="4"/>
  <c r="EE22" i="4"/>
  <c r="EO22" i="4"/>
  <c r="EX22" i="4"/>
  <c r="FH22" i="4"/>
  <c r="FR22" i="4"/>
  <c r="GD22" i="4"/>
  <c r="GN22" i="4"/>
  <c r="HA22" i="4"/>
  <c r="HL22" i="4"/>
  <c r="HZ22" i="4"/>
  <c r="IK22" i="4"/>
  <c r="IY22" i="4"/>
  <c r="C24" i="4"/>
  <c r="B24" i="4"/>
  <c r="CG24" i="4"/>
  <c r="G24" i="4"/>
  <c r="P21" i="4"/>
  <c r="X21" i="4"/>
  <c r="AF21" i="4"/>
  <c r="AN21" i="4"/>
  <c r="AV21" i="4"/>
  <c r="BD21" i="4"/>
  <c r="BL21" i="4"/>
  <c r="BT21" i="4"/>
  <c r="CB21" i="4"/>
  <c r="CJ21" i="4"/>
  <c r="CR21" i="4"/>
  <c r="CZ21" i="4"/>
  <c r="DH21" i="4"/>
  <c r="DP21" i="4"/>
  <c r="DX21" i="4"/>
  <c r="EF21" i="4"/>
  <c r="EN21" i="4"/>
  <c r="EV21" i="4"/>
  <c r="FD21" i="4"/>
  <c r="FL21" i="4"/>
  <c r="FT21" i="4"/>
  <c r="GB21" i="4"/>
  <c r="GK21" i="4"/>
  <c r="GU21" i="4"/>
  <c r="HD21" i="4"/>
  <c r="HM21" i="4"/>
  <c r="HV21" i="4"/>
  <c r="IE21" i="4"/>
  <c r="IN21" i="4"/>
  <c r="IW21" i="4"/>
  <c r="R22" i="4"/>
  <c r="AA22" i="4"/>
  <c r="AJ22" i="4"/>
  <c r="AS22" i="4"/>
  <c r="BB22" i="4"/>
  <c r="BK22" i="4"/>
  <c r="BU22" i="4"/>
  <c r="CD22" i="4"/>
  <c r="CM22" i="4"/>
  <c r="CV22" i="4"/>
  <c r="DE22" i="4"/>
  <c r="DN22" i="4"/>
  <c r="DW22" i="4"/>
  <c r="EG22" i="4"/>
  <c r="EP22" i="4"/>
  <c r="EY22" i="4"/>
  <c r="FI22" i="4"/>
  <c r="FU22" i="4"/>
  <c r="GE22" i="4"/>
  <c r="GO22" i="4"/>
  <c r="HB22" i="4"/>
  <c r="HM22" i="4"/>
  <c r="IA22" i="4"/>
  <c r="IO22" i="4"/>
  <c r="BU24" i="4"/>
  <c r="M19" i="4"/>
  <c r="U19" i="4"/>
  <c r="AC19" i="4"/>
  <c r="AK19" i="4"/>
  <c r="AS19" i="4"/>
  <c r="BA19" i="4"/>
  <c r="BI19" i="4"/>
  <c r="BQ19" i="4"/>
  <c r="BY19" i="4"/>
  <c r="CG19" i="4"/>
  <c r="CO19" i="4"/>
  <c r="CW19" i="4"/>
  <c r="DE19" i="4"/>
  <c r="DM19" i="4"/>
  <c r="DU19" i="4"/>
  <c r="EC19" i="4"/>
  <c r="EK19" i="4"/>
  <c r="ES19" i="4"/>
  <c r="FA19" i="4"/>
  <c r="FI19" i="4"/>
  <c r="FQ19" i="4"/>
  <c r="FY19" i="4"/>
  <c r="GG19" i="4"/>
  <c r="GO19" i="4"/>
  <c r="GW19" i="4"/>
  <c r="HE19" i="4"/>
  <c r="HM19" i="4"/>
  <c r="HU19" i="4"/>
  <c r="IC19" i="4"/>
  <c r="IK19" i="4"/>
  <c r="Q21" i="4"/>
  <c r="Y21" i="4"/>
  <c r="AG21" i="4"/>
  <c r="AO21" i="4"/>
  <c r="AW21" i="4"/>
  <c r="BE21" i="4"/>
  <c r="BM21" i="4"/>
  <c r="BU21" i="4"/>
  <c r="CC21" i="4"/>
  <c r="CK21" i="4"/>
  <c r="CS21" i="4"/>
  <c r="DA21" i="4"/>
  <c r="DI21" i="4"/>
  <c r="DQ21" i="4"/>
  <c r="DY21" i="4"/>
  <c r="EG21" i="4"/>
  <c r="EO21" i="4"/>
  <c r="EW21" i="4"/>
  <c r="FE21" i="4"/>
  <c r="FM21" i="4"/>
  <c r="FU21" i="4"/>
  <c r="GC21" i="4"/>
  <c r="GM21" i="4"/>
  <c r="GV21" i="4"/>
  <c r="HE21" i="4"/>
  <c r="HN21" i="4"/>
  <c r="HW21" i="4"/>
  <c r="IF21" i="4"/>
  <c r="IO21" i="4"/>
  <c r="IY21" i="4"/>
  <c r="J22" i="4"/>
  <c r="S22" i="4"/>
  <c r="AB22" i="4"/>
  <c r="AK22" i="4"/>
  <c r="AT22" i="4"/>
  <c r="BC22" i="4"/>
  <c r="BM22" i="4"/>
  <c r="BV22" i="4"/>
  <c r="CE22" i="4"/>
  <c r="CN22" i="4"/>
  <c r="CW22" i="4"/>
  <c r="DF22" i="4"/>
  <c r="DO22" i="4"/>
  <c r="DY22" i="4"/>
  <c r="EH22" i="4"/>
  <c r="EQ22" i="4"/>
  <c r="EZ22" i="4"/>
  <c r="FJ22" i="4"/>
  <c r="FV22" i="4"/>
  <c r="GF22" i="4"/>
  <c r="GP22" i="4"/>
  <c r="HC22" i="4"/>
  <c r="HQ22" i="4"/>
  <c r="IB22" i="4"/>
  <c r="IP22" i="4"/>
  <c r="AB23" i="4"/>
  <c r="T23" i="4"/>
  <c r="L23" i="4"/>
  <c r="IY23" i="4"/>
  <c r="IQ23" i="4"/>
  <c r="II23" i="4"/>
  <c r="IA23" i="4"/>
  <c r="HS23" i="4"/>
  <c r="HK23" i="4"/>
  <c r="HC23" i="4"/>
  <c r="GU23" i="4"/>
  <c r="GM23" i="4"/>
  <c r="GE23" i="4"/>
  <c r="FW23" i="4"/>
  <c r="GT23" i="4"/>
  <c r="GL23" i="4"/>
  <c r="GD23" i="4"/>
  <c r="FV23" i="4"/>
  <c r="FN23" i="4"/>
  <c r="FF23" i="4"/>
  <c r="EX23" i="4"/>
  <c r="EP23" i="4"/>
  <c r="EH23" i="4"/>
  <c r="DZ23" i="4"/>
  <c r="DR23" i="4"/>
  <c r="DJ23" i="4"/>
  <c r="HY23" i="4"/>
  <c r="HQ23" i="4"/>
  <c r="HI23" i="4"/>
  <c r="HA23" i="4"/>
  <c r="GS23" i="4"/>
  <c r="GK23" i="4"/>
  <c r="GC23" i="4"/>
  <c r="FU23" i="4"/>
  <c r="FM23" i="4"/>
  <c r="FE23" i="4"/>
  <c r="EW23" i="4"/>
  <c r="EO23" i="4"/>
  <c r="O23" i="4"/>
  <c r="Z23" i="4"/>
  <c r="AN23" i="4"/>
  <c r="AY23" i="4"/>
  <c r="BM23" i="4"/>
  <c r="CA23" i="4"/>
  <c r="CL23" i="4"/>
  <c r="CZ23" i="4"/>
  <c r="DO23" i="4"/>
  <c r="EE23" i="4"/>
  <c r="EV23" i="4"/>
  <c r="FS23" i="4"/>
  <c r="GY23" i="4"/>
  <c r="IE23" i="4"/>
  <c r="CQ25" i="4"/>
  <c r="IG23" i="4"/>
  <c r="IO23" i="4"/>
  <c r="IW23" i="4"/>
  <c r="FP25" i="4"/>
  <c r="GD25" i="4"/>
  <c r="GO25" i="4"/>
  <c r="HC25" i="4"/>
  <c r="HQ25" i="4"/>
  <c r="IB25" i="4"/>
  <c r="IP25" i="4"/>
  <c r="IF27" i="4"/>
  <c r="IL27" i="4"/>
  <c r="GF27" i="4"/>
  <c r="FP27" i="4"/>
  <c r="FH27" i="4"/>
  <c r="DL27" i="4"/>
  <c r="CN27" i="4"/>
  <c r="AR27" i="4"/>
  <c r="T27" i="4"/>
  <c r="C27" i="4"/>
  <c r="IB27" i="4"/>
  <c r="HK27" i="4"/>
  <c r="FG27" i="4"/>
  <c r="EQ27" i="4"/>
  <c r="CM27" i="4"/>
  <c r="BW27" i="4"/>
  <c r="BG27" i="4"/>
  <c r="S27" i="4"/>
  <c r="B27" i="4"/>
  <c r="IC27" i="4" s="1"/>
  <c r="IS27" i="4"/>
  <c r="HB27" i="4"/>
  <c r="GD27" i="4"/>
  <c r="EP27" i="4"/>
  <c r="DZ27" i="4"/>
  <c r="DR27" i="4"/>
  <c r="CD27" i="4"/>
  <c r="BN27" i="4"/>
  <c r="BF27" i="4"/>
  <c r="IQ27" i="4"/>
  <c r="IH27" i="4"/>
  <c r="GR27" i="4"/>
  <c r="GB27" i="4"/>
  <c r="FT27" i="4"/>
  <c r="EF27" i="4"/>
  <c r="DP27" i="4"/>
  <c r="BT27" i="4"/>
  <c r="BD27" i="4"/>
  <c r="AV27" i="4"/>
  <c r="IY27" i="4"/>
  <c r="IG27" i="4"/>
  <c r="HW27" i="4"/>
  <c r="GI27" i="4"/>
  <c r="FK27" i="4"/>
  <c r="DW27" i="4"/>
  <c r="DG27" i="4"/>
  <c r="CY27" i="4"/>
  <c r="BK27" i="4"/>
  <c r="AU27" i="4"/>
  <c r="AM27" i="4"/>
  <c r="CK27" i="4"/>
  <c r="DF27" i="4"/>
  <c r="HI27" i="4"/>
  <c r="HB23" i="4"/>
  <c r="HJ23" i="4"/>
  <c r="HR23" i="4"/>
  <c r="HZ23" i="4"/>
  <c r="IH23" i="4"/>
  <c r="IP23" i="4"/>
  <c r="IX23" i="4"/>
  <c r="EK25" i="4"/>
  <c r="EW25" i="4"/>
  <c r="FG25" i="4"/>
  <c r="FQ25" i="4"/>
  <c r="GE25" i="4"/>
  <c r="GS25" i="4"/>
  <c r="HD25" i="4"/>
  <c r="HR25" i="4"/>
  <c r="IC25" i="4"/>
  <c r="IQ25" i="4"/>
  <c r="DI27" i="4"/>
  <c r="FA27" i="4"/>
  <c r="FU27" i="4"/>
  <c r="FU25" i="4"/>
  <c r="GF25" i="4"/>
  <c r="GT25" i="4"/>
  <c r="HE25" i="4"/>
  <c r="HS25" i="4"/>
  <c r="IG25" i="4"/>
  <c r="IR25" i="4"/>
  <c r="EG27" i="4"/>
  <c r="FY27" i="4"/>
  <c r="C29" i="4"/>
  <c r="B29" i="4"/>
  <c r="AK29" i="4" s="1"/>
  <c r="IF29" i="4"/>
  <c r="CT29" i="4"/>
  <c r="GS29" i="4"/>
  <c r="BU29" i="4"/>
  <c r="EL29" i="4"/>
  <c r="CH29" i="4"/>
  <c r="AJ23" i="4"/>
  <c r="AR23" i="4"/>
  <c r="AZ23" i="4"/>
  <c r="BH23" i="4"/>
  <c r="BP23" i="4"/>
  <c r="BX23" i="4"/>
  <c r="CF23" i="4"/>
  <c r="CN23" i="4"/>
  <c r="CV23" i="4"/>
  <c r="DD23" i="4"/>
  <c r="DL23" i="4"/>
  <c r="DT23" i="4"/>
  <c r="EB23" i="4"/>
  <c r="EJ23" i="4"/>
  <c r="ER23" i="4"/>
  <c r="EZ23" i="4"/>
  <c r="FH23" i="4"/>
  <c r="FP23" i="4"/>
  <c r="FX23" i="4"/>
  <c r="GF23" i="4"/>
  <c r="GN23" i="4"/>
  <c r="GV23" i="4"/>
  <c r="HD23" i="4"/>
  <c r="HL23" i="4"/>
  <c r="HT23" i="4"/>
  <c r="IB23" i="4"/>
  <c r="IJ23" i="4"/>
  <c r="IR23" i="4"/>
  <c r="L25" i="4"/>
  <c r="U25" i="4"/>
  <c r="AD25" i="4"/>
  <c r="AM25" i="4"/>
  <c r="AW25" i="4"/>
  <c r="BF25" i="4"/>
  <c r="BO25" i="4"/>
  <c r="BX25" i="4"/>
  <c r="CG25" i="4"/>
  <c r="CP25" i="4"/>
  <c r="CY25" i="4"/>
  <c r="DI25" i="4"/>
  <c r="DS25" i="4"/>
  <c r="EC25" i="4"/>
  <c r="EO25" i="4"/>
  <c r="EY25" i="4"/>
  <c r="FI25" i="4"/>
  <c r="FV25" i="4"/>
  <c r="GG25" i="4"/>
  <c r="GU25" i="4"/>
  <c r="HI25" i="4"/>
  <c r="HT25" i="4"/>
  <c r="IH25" i="4"/>
  <c r="IS25" i="4"/>
  <c r="M27" i="4"/>
  <c r="AG27" i="4"/>
  <c r="BB27" i="4"/>
  <c r="CS27" i="4"/>
  <c r="DN27" i="4"/>
  <c r="EK27" i="4"/>
  <c r="FE27" i="4"/>
  <c r="FZ27" i="4"/>
  <c r="GW27" i="4"/>
  <c r="HQ27" i="4"/>
  <c r="G29" i="4"/>
  <c r="M23" i="4"/>
  <c r="U23" i="4"/>
  <c r="AC23" i="4"/>
  <c r="AK23" i="4"/>
  <c r="AS23" i="4"/>
  <c r="BA23" i="4"/>
  <c r="BI23" i="4"/>
  <c r="BQ23" i="4"/>
  <c r="BY23" i="4"/>
  <c r="CG23" i="4"/>
  <c r="CO23" i="4"/>
  <c r="CW23" i="4"/>
  <c r="DE23" i="4"/>
  <c r="DM23" i="4"/>
  <c r="DU23" i="4"/>
  <c r="EC23" i="4"/>
  <c r="EK23" i="4"/>
  <c r="ES23" i="4"/>
  <c r="FA23" i="4"/>
  <c r="FI23" i="4"/>
  <c r="FQ23" i="4"/>
  <c r="FY23" i="4"/>
  <c r="GG23" i="4"/>
  <c r="GO23" i="4"/>
  <c r="GW23" i="4"/>
  <c r="HE23" i="4"/>
  <c r="HM23" i="4"/>
  <c r="HU23" i="4"/>
  <c r="IC23" i="4"/>
  <c r="IK23" i="4"/>
  <c r="IS23" i="4"/>
  <c r="M25" i="4"/>
  <c r="V25" i="4"/>
  <c r="AE25" i="4"/>
  <c r="AO25" i="4"/>
  <c r="AX25" i="4"/>
  <c r="BG25" i="4"/>
  <c r="BP25" i="4"/>
  <c r="BY25" i="4"/>
  <c r="CH25" i="4"/>
  <c r="DA25" i="4"/>
  <c r="DJ25" i="4"/>
  <c r="DT25" i="4"/>
  <c r="EE25" i="4"/>
  <c r="EP25" i="4"/>
  <c r="EZ25" i="4"/>
  <c r="FK25" i="4"/>
  <c r="FW25" i="4"/>
  <c r="GK25" i="4"/>
  <c r="GV25" i="4"/>
  <c r="HJ25" i="4"/>
  <c r="HU25" i="4"/>
  <c r="II25" i="4"/>
  <c r="GA26" i="4"/>
  <c r="N27" i="4"/>
  <c r="AK27" i="4"/>
  <c r="BE27" i="4"/>
  <c r="BZ27" i="4"/>
  <c r="CW27" i="4"/>
  <c r="DQ27" i="4"/>
  <c r="EL27" i="4"/>
  <c r="FI27" i="4"/>
  <c r="GC27" i="4"/>
  <c r="GX27" i="4"/>
  <c r="HU27" i="4"/>
  <c r="IR27" i="4"/>
  <c r="N23" i="4"/>
  <c r="V23" i="4"/>
  <c r="AD23" i="4"/>
  <c r="AL23" i="4"/>
  <c r="AT23" i="4"/>
  <c r="BB23" i="4"/>
  <c r="BJ23" i="4"/>
  <c r="BR23" i="4"/>
  <c r="BZ23" i="4"/>
  <c r="CH23" i="4"/>
  <c r="CP23" i="4"/>
  <c r="CX23" i="4"/>
  <c r="DF23" i="4"/>
  <c r="DN23" i="4"/>
  <c r="DV23" i="4"/>
  <c r="ED23" i="4"/>
  <c r="EL23" i="4"/>
  <c r="ET23" i="4"/>
  <c r="FB23" i="4"/>
  <c r="FJ23" i="4"/>
  <c r="FR23" i="4"/>
  <c r="FZ23" i="4"/>
  <c r="GH23" i="4"/>
  <c r="GP23" i="4"/>
  <c r="GX23" i="4"/>
  <c r="HF23" i="4"/>
  <c r="HN23" i="4"/>
  <c r="HV23" i="4"/>
  <c r="ID23" i="4"/>
  <c r="IL23" i="4"/>
  <c r="IV25" i="4"/>
  <c r="IN25" i="4"/>
  <c r="IF25" i="4"/>
  <c r="HX25" i="4"/>
  <c r="HP25" i="4"/>
  <c r="HH25" i="4"/>
  <c r="GZ25" i="4"/>
  <c r="GR25" i="4"/>
  <c r="GJ25" i="4"/>
  <c r="GB25" i="4"/>
  <c r="FT25" i="4"/>
  <c r="FL25" i="4"/>
  <c r="FD25" i="4"/>
  <c r="EV25" i="4"/>
  <c r="EN25" i="4"/>
  <c r="EF25" i="4"/>
  <c r="DX25" i="4"/>
  <c r="DP25" i="4"/>
  <c r="DH25" i="4"/>
  <c r="CZ25" i="4"/>
  <c r="CR25" i="4"/>
  <c r="CJ25" i="4"/>
  <c r="CB25" i="4"/>
  <c r="BT25" i="4"/>
  <c r="BL25" i="4"/>
  <c r="BD25" i="4"/>
  <c r="AV25" i="4"/>
  <c r="AN25" i="4"/>
  <c r="AF25" i="4"/>
  <c r="X25" i="4"/>
  <c r="P25" i="4"/>
  <c r="G25" i="4"/>
  <c r="IU25" i="4"/>
  <c r="IM25" i="4"/>
  <c r="IE25" i="4"/>
  <c r="HW25" i="4"/>
  <c r="HO25" i="4"/>
  <c r="HG25" i="4"/>
  <c r="GY25" i="4"/>
  <c r="GQ25" i="4"/>
  <c r="GI25" i="4"/>
  <c r="GA25" i="4"/>
  <c r="FS25" i="4"/>
  <c r="IT25" i="4"/>
  <c r="IL25" i="4"/>
  <c r="ID25" i="4"/>
  <c r="HV25" i="4"/>
  <c r="HN25" i="4"/>
  <c r="HF25" i="4"/>
  <c r="GX25" i="4"/>
  <c r="GP25" i="4"/>
  <c r="GH25" i="4"/>
  <c r="FZ25" i="4"/>
  <c r="FR25" i="4"/>
  <c r="FJ25" i="4"/>
  <c r="FB25" i="4"/>
  <c r="ET25" i="4"/>
  <c r="EL25" i="4"/>
  <c r="ED25" i="4"/>
  <c r="DV25" i="4"/>
  <c r="DN25" i="4"/>
  <c r="N25" i="4"/>
  <c r="W25" i="4"/>
  <c r="AG25" i="4"/>
  <c r="AP25" i="4"/>
  <c r="AY25" i="4"/>
  <c r="BH25" i="4"/>
  <c r="BQ25" i="4"/>
  <c r="BZ25" i="4"/>
  <c r="CI25" i="4"/>
  <c r="CS25" i="4"/>
  <c r="DB25" i="4"/>
  <c r="DK25" i="4"/>
  <c r="DU25" i="4"/>
  <c r="EG25" i="4"/>
  <c r="EQ25" i="4"/>
  <c r="FA25" i="4"/>
  <c r="FM25" i="4"/>
  <c r="FX25" i="4"/>
  <c r="GL25" i="4"/>
  <c r="GW25" i="4"/>
  <c r="HK25" i="4"/>
  <c r="HY25" i="4"/>
  <c r="IJ25" i="4"/>
  <c r="IX25" i="4"/>
  <c r="AI26" i="4"/>
  <c r="CJ26" i="4"/>
  <c r="FL26" i="4"/>
  <c r="HH26" i="4"/>
  <c r="Q27" i="4"/>
  <c r="AL27" i="4"/>
  <c r="BI27" i="4"/>
  <c r="CC27" i="4"/>
  <c r="CX27" i="4"/>
  <c r="DU27" i="4"/>
  <c r="EO27" i="4"/>
  <c r="FJ27" i="4"/>
  <c r="GG27" i="4"/>
  <c r="HA27" i="4"/>
  <c r="HV27" i="4"/>
  <c r="IW27" i="4"/>
  <c r="CZ29" i="4"/>
  <c r="HJ26" i="4"/>
  <c r="IH26" i="4"/>
  <c r="IX26" i="4"/>
  <c r="C26" i="4"/>
  <c r="GD26" i="4" s="1"/>
  <c r="T26" i="4"/>
  <c r="AJ26" i="4"/>
  <c r="AR26" i="4"/>
  <c r="BH26" i="4"/>
  <c r="BP26" i="4"/>
  <c r="CF26" i="4"/>
  <c r="CV26" i="4"/>
  <c r="DD26" i="4"/>
  <c r="DT26" i="4"/>
  <c r="EB26" i="4"/>
  <c r="ER26" i="4"/>
  <c r="FH26" i="4"/>
  <c r="FP26" i="4"/>
  <c r="GF26" i="4"/>
  <c r="GN26" i="4"/>
  <c r="HD26" i="4"/>
  <c r="HT26" i="4"/>
  <c r="IB26" i="4"/>
  <c r="IR26" i="4"/>
  <c r="C28" i="4"/>
  <c r="AE28" i="4" s="1"/>
  <c r="GY28" i="4"/>
  <c r="M26" i="4"/>
  <c r="AC26" i="4"/>
  <c r="AS26" i="4"/>
  <c r="BA26" i="4"/>
  <c r="BQ26" i="4"/>
  <c r="BY26" i="4"/>
  <c r="CO26" i="4"/>
  <c r="DE26" i="4"/>
  <c r="DM26" i="4"/>
  <c r="EC26" i="4"/>
  <c r="EK26" i="4"/>
  <c r="FA26" i="4"/>
  <c r="FQ26" i="4"/>
  <c r="FY26" i="4"/>
  <c r="GO26" i="4"/>
  <c r="GW26" i="4"/>
  <c r="HM26" i="4"/>
  <c r="IC26" i="4"/>
  <c r="IK26" i="4"/>
  <c r="HF28" i="4"/>
  <c r="DN28" i="4"/>
  <c r="N28" i="4"/>
  <c r="FA28" i="4"/>
  <c r="BA28" i="4"/>
  <c r="GN28" i="4"/>
  <c r="CV28" i="4"/>
  <c r="IQ28" i="4"/>
  <c r="EQ28" i="4"/>
  <c r="AQ28" i="4"/>
  <c r="FT28" i="4"/>
  <c r="N26" i="4"/>
  <c r="AD26" i="4"/>
  <c r="AL26" i="4"/>
  <c r="BB26" i="4"/>
  <c r="BJ26" i="4"/>
  <c r="BZ26" i="4"/>
  <c r="CP26" i="4"/>
  <c r="CX26" i="4"/>
  <c r="DN26" i="4"/>
  <c r="DV26" i="4"/>
  <c r="EL26" i="4"/>
  <c r="FB26" i="4"/>
  <c r="FJ26" i="4"/>
  <c r="FZ26" i="4"/>
  <c r="GH26" i="4"/>
  <c r="GX26" i="4"/>
  <c r="HN26" i="4"/>
  <c r="HV26" i="4"/>
  <c r="IL26" i="4"/>
  <c r="R28" i="4"/>
  <c r="AW28" i="4"/>
  <c r="IW28" i="4"/>
  <c r="IV32" i="4"/>
  <c r="II32" i="4"/>
  <c r="HW32" i="4"/>
  <c r="HJ32" i="4"/>
  <c r="GW32" i="4"/>
  <c r="GJ32" i="4"/>
  <c r="EX32" i="4"/>
  <c r="EK32" i="4"/>
  <c r="IU32" i="4"/>
  <c r="IH32" i="4"/>
  <c r="HU32" i="4"/>
  <c r="HH32" i="4"/>
  <c r="GI32" i="4"/>
  <c r="FV32" i="4"/>
  <c r="FI32" i="4"/>
  <c r="EV32" i="4"/>
  <c r="EJ32" i="4"/>
  <c r="IS32" i="4"/>
  <c r="IF32" i="4"/>
  <c r="HG32" i="4"/>
  <c r="GT32" i="4"/>
  <c r="GG32" i="4"/>
  <c r="FT32" i="4"/>
  <c r="FG32" i="4"/>
  <c r="EU32" i="4"/>
  <c r="IM32" i="4"/>
  <c r="FS32" i="4"/>
  <c r="EN32" i="4"/>
  <c r="DW32" i="4"/>
  <c r="DK32" i="4"/>
  <c r="CZ32" i="4"/>
  <c r="CP32" i="4"/>
  <c r="CE32" i="4"/>
  <c r="BJ32" i="4"/>
  <c r="AY32" i="4"/>
  <c r="AN32" i="4"/>
  <c r="AD32" i="4"/>
  <c r="S32" i="4"/>
  <c r="IE32" i="4"/>
  <c r="GZ32" i="4"/>
  <c r="EI32" i="4"/>
  <c r="DU32" i="4"/>
  <c r="DI32" i="4"/>
  <c r="CY32" i="4"/>
  <c r="CN32" i="4"/>
  <c r="CC32" i="4"/>
  <c r="BS32" i="4"/>
  <c r="AW32" i="4"/>
  <c r="AM32" i="4"/>
  <c r="AB32" i="4"/>
  <c r="Q32" i="4"/>
  <c r="IA32" i="4"/>
  <c r="GR32" i="4"/>
  <c r="FN32" i="4"/>
  <c r="DT32" i="4"/>
  <c r="DH32" i="4"/>
  <c r="CX32" i="4"/>
  <c r="CM32" i="4"/>
  <c r="CB32" i="4"/>
  <c r="BR32" i="4"/>
  <c r="BG32" i="4"/>
  <c r="AL32" i="4"/>
  <c r="AA32" i="4"/>
  <c r="P32" i="4"/>
  <c r="HZ32" i="4"/>
  <c r="GO32" i="4"/>
  <c r="FF32" i="4"/>
  <c r="EE32" i="4"/>
  <c r="DG32" i="4"/>
  <c r="CV32" i="4"/>
  <c r="CK32" i="4"/>
  <c r="CA32" i="4"/>
  <c r="BP32" i="4"/>
  <c r="BE32" i="4"/>
  <c r="AU32" i="4"/>
  <c r="Y32" i="4"/>
  <c r="O32" i="4"/>
  <c r="HR32" i="4"/>
  <c r="GM32" i="4"/>
  <c r="FC32" i="4"/>
  <c r="EC32" i="4"/>
  <c r="DP32" i="4"/>
  <c r="CU32" i="4"/>
  <c r="CJ32" i="4"/>
  <c r="BZ32" i="4"/>
  <c r="BO32" i="4"/>
  <c r="BD32" i="4"/>
  <c r="AT32" i="4"/>
  <c r="AI32" i="4"/>
  <c r="N32" i="4"/>
  <c r="IQ32" i="4"/>
  <c r="HM32" i="4"/>
  <c r="GB32" i="4"/>
  <c r="ES32" i="4"/>
  <c r="DZ32" i="4"/>
  <c r="DN32" i="4"/>
  <c r="CR32" i="4"/>
  <c r="CH32" i="4"/>
  <c r="BW32" i="4"/>
  <c r="BL32" i="4"/>
  <c r="BB32" i="4"/>
  <c r="AQ32" i="4"/>
  <c r="AF32" i="4"/>
  <c r="K32" i="4"/>
  <c r="AG32" i="4"/>
  <c r="BX32" i="4"/>
  <c r="DO32" i="4"/>
  <c r="HO32" i="4"/>
  <c r="AO32" i="4"/>
  <c r="CF32" i="4"/>
  <c r="IN32" i="4"/>
  <c r="AR32" i="4"/>
  <c r="CI32" i="4"/>
  <c r="EA32" i="4"/>
  <c r="IY32" i="4"/>
  <c r="AZ32" i="4"/>
  <c r="CQ32" i="4"/>
  <c r="L32" i="4"/>
  <c r="BC32" i="4"/>
  <c r="CS32" i="4"/>
  <c r="FA32" i="4"/>
  <c r="AX30" i="4"/>
  <c r="EH30" i="4"/>
  <c r="GD30" i="4"/>
  <c r="GL30" i="4"/>
  <c r="HR30" i="4"/>
  <c r="IP33" i="4"/>
  <c r="EJ33" i="4"/>
  <c r="CH33" i="4"/>
  <c r="HV33" i="4"/>
  <c r="FS33" i="4"/>
  <c r="BM33" i="4"/>
  <c r="AB33" i="4"/>
  <c r="K33" i="4"/>
  <c r="DN33" i="4"/>
  <c r="CC33" i="4"/>
  <c r="FO33" i="4"/>
  <c r="EW33" i="4"/>
  <c r="BJ33" i="4"/>
  <c r="BT33" i="4"/>
  <c r="B30" i="4"/>
  <c r="AP30" i="4" s="1"/>
  <c r="S30" i="4"/>
  <c r="AY30" i="4"/>
  <c r="BG30" i="4"/>
  <c r="CU30" i="4"/>
  <c r="DC30" i="4"/>
  <c r="EA30" i="4"/>
  <c r="GM30" i="4"/>
  <c r="GU30" i="4"/>
  <c r="II30" i="4"/>
  <c r="IQ30" i="4"/>
  <c r="BV33" i="4"/>
  <c r="EQ33" i="4"/>
  <c r="C30" i="4"/>
  <c r="L30" i="4"/>
  <c r="T30" i="4"/>
  <c r="BP30" i="4"/>
  <c r="BX30" i="4"/>
  <c r="CF30" i="4"/>
  <c r="CN30" i="4"/>
  <c r="EJ30" i="4"/>
  <c r="ER30" i="4"/>
  <c r="FH30" i="4"/>
  <c r="GV30" i="4"/>
  <c r="HD30" i="4"/>
  <c r="HL30" i="4"/>
  <c r="IB30" i="4"/>
  <c r="IB33" i="4"/>
  <c r="M30" i="4"/>
  <c r="AC30" i="4"/>
  <c r="BI30" i="4"/>
  <c r="BQ30" i="4"/>
  <c r="BY30" i="4"/>
  <c r="CO30" i="4"/>
  <c r="DU30" i="4"/>
  <c r="EK30" i="4"/>
  <c r="ES30" i="4"/>
  <c r="FA30" i="4"/>
  <c r="GG30" i="4"/>
  <c r="GW30" i="4"/>
  <c r="HE30" i="4"/>
  <c r="IS30" i="4"/>
  <c r="B31" i="4"/>
  <c r="BG31" i="4" s="1"/>
  <c r="S33" i="4"/>
  <c r="FJ33" i="4"/>
  <c r="IE33" i="4"/>
  <c r="AL30" i="4"/>
  <c r="BB30" i="4"/>
  <c r="BJ30" i="4"/>
  <c r="CX30" i="4"/>
  <c r="DF30" i="4"/>
  <c r="DN30" i="4"/>
  <c r="DV30" i="4"/>
  <c r="FJ30" i="4"/>
  <c r="FR30" i="4"/>
  <c r="GH30" i="4"/>
  <c r="GP30" i="4"/>
  <c r="HV30" i="4"/>
  <c r="ID30" i="4"/>
  <c r="C31" i="4"/>
  <c r="EI31" i="4" s="1"/>
  <c r="AI33" i="4"/>
  <c r="IU33" i="4"/>
  <c r="IT32" i="4"/>
  <c r="IL32" i="4"/>
  <c r="ID32" i="4"/>
  <c r="HV32" i="4"/>
  <c r="HN32" i="4"/>
  <c r="HF32" i="4"/>
  <c r="GX32" i="4"/>
  <c r="GP32" i="4"/>
  <c r="GH32" i="4"/>
  <c r="FZ32" i="4"/>
  <c r="FR32" i="4"/>
  <c r="FJ32" i="4"/>
  <c r="FB32" i="4"/>
  <c r="ET32" i="4"/>
  <c r="EL32" i="4"/>
  <c r="ED32" i="4"/>
  <c r="IR32" i="4"/>
  <c r="IJ32" i="4"/>
  <c r="IB32" i="4"/>
  <c r="HT32" i="4"/>
  <c r="HL32" i="4"/>
  <c r="HD32" i="4"/>
  <c r="GV32" i="4"/>
  <c r="GN32" i="4"/>
  <c r="GF32" i="4"/>
  <c r="FX32" i="4"/>
  <c r="FP32" i="4"/>
  <c r="FH32" i="4"/>
  <c r="EZ32" i="4"/>
  <c r="ER32" i="4"/>
  <c r="IW32" i="4"/>
  <c r="IO32" i="4"/>
  <c r="IG32" i="4"/>
  <c r="HY32" i="4"/>
  <c r="HQ32" i="4"/>
  <c r="HI32" i="4"/>
  <c r="HA32" i="4"/>
  <c r="GS32" i="4"/>
  <c r="GK32" i="4"/>
  <c r="GC32" i="4"/>
  <c r="FU32" i="4"/>
  <c r="FM32" i="4"/>
  <c r="FE32" i="4"/>
  <c r="EW32" i="4"/>
  <c r="EO32" i="4"/>
  <c r="EG32" i="4"/>
  <c r="DY32" i="4"/>
  <c r="DQ32" i="4"/>
  <c r="M32" i="4"/>
  <c r="U32" i="4"/>
  <c r="AC32" i="4"/>
  <c r="AK32" i="4"/>
  <c r="AS32" i="4"/>
  <c r="BA32" i="4"/>
  <c r="BI32" i="4"/>
  <c r="BQ32" i="4"/>
  <c r="BY32" i="4"/>
  <c r="CG32" i="4"/>
  <c r="CO32" i="4"/>
  <c r="CW32" i="4"/>
  <c r="DE32" i="4"/>
  <c r="DM32" i="4"/>
  <c r="DV32" i="4"/>
  <c r="EF32" i="4"/>
  <c r="EQ32" i="4"/>
  <c r="FD32" i="4"/>
  <c r="FQ32" i="4"/>
  <c r="GD32" i="4"/>
  <c r="GQ32" i="4"/>
  <c r="HC32" i="4"/>
  <c r="HP32" i="4"/>
  <c r="IC32" i="4"/>
  <c r="IP32" i="4"/>
  <c r="HU33" i="4"/>
  <c r="HM33" i="4"/>
  <c r="GO33" i="4"/>
  <c r="FI33" i="4"/>
  <c r="EK33" i="4"/>
  <c r="EC33" i="4"/>
  <c r="CW33" i="4"/>
  <c r="CO33" i="4"/>
  <c r="BQ33" i="4"/>
  <c r="AK33" i="4"/>
  <c r="IQ33" i="4"/>
  <c r="IH33" i="4"/>
  <c r="GX33" i="4"/>
  <c r="GN33" i="4"/>
  <c r="FM33" i="4"/>
  <c r="EB33" i="4"/>
  <c r="DA33" i="4"/>
  <c r="CR33" i="4"/>
  <c r="BG33" i="4"/>
  <c r="AX33" i="4"/>
  <c r="W33" i="4"/>
  <c r="IF33" i="4"/>
  <c r="HD33" i="4"/>
  <c r="GU33" i="4"/>
  <c r="FK33" i="4"/>
  <c r="FB33" i="4"/>
  <c r="DZ33" i="4"/>
  <c r="CP33" i="4"/>
  <c r="BN33" i="4"/>
  <c r="BE33" i="4"/>
  <c r="T33" i="4"/>
  <c r="L33" i="4"/>
  <c r="C33" i="4"/>
  <c r="CZ33" i="4" s="1"/>
  <c r="IV33" i="4"/>
  <c r="IM33" i="4"/>
  <c r="GS33" i="4"/>
  <c r="GJ33" i="4"/>
  <c r="GA33" i="4"/>
  <c r="FR33" i="4"/>
  <c r="EG33" i="4"/>
  <c r="DX33" i="4"/>
  <c r="DO33" i="4"/>
  <c r="DF33" i="4"/>
  <c r="CV33" i="4"/>
  <c r="BL33" i="4"/>
  <c r="BC33" i="4"/>
  <c r="AT33" i="4"/>
  <c r="AJ33" i="4"/>
  <c r="AA33" i="4"/>
  <c r="II33" i="4"/>
  <c r="HZ33" i="4"/>
  <c r="HQ33" i="4"/>
  <c r="HH33" i="4"/>
  <c r="GY33" i="4"/>
  <c r="FN33" i="4"/>
  <c r="FE33" i="4"/>
  <c r="EV33" i="4"/>
  <c r="EM33" i="4"/>
  <c r="ED33" i="4"/>
  <c r="CS33" i="4"/>
  <c r="CJ33" i="4"/>
  <c r="CA33" i="4"/>
  <c r="BR33" i="4"/>
  <c r="BH33" i="4"/>
  <c r="X33" i="4"/>
  <c r="O33" i="4"/>
  <c r="V33" i="4"/>
  <c r="AN33" i="4"/>
  <c r="DI33" i="4"/>
  <c r="EA33" i="4"/>
  <c r="ET33" i="4"/>
  <c r="FL33" i="4"/>
  <c r="GD33" i="4"/>
  <c r="IY33" i="4"/>
  <c r="BV34" i="4"/>
  <c r="DY34" i="4"/>
  <c r="HK34" i="4"/>
  <c r="HC34" i="4"/>
  <c r="DS34" i="4"/>
  <c r="DK34" i="4"/>
  <c r="AQ34" i="4"/>
  <c r="AI34" i="4"/>
  <c r="B34" i="4"/>
  <c r="IQ34" i="4" s="1"/>
  <c r="HW34" i="4"/>
  <c r="HN34" i="4"/>
  <c r="EJ34" i="4"/>
  <c r="DQ34" i="4"/>
  <c r="AV34" i="4"/>
  <c r="AM34" i="4"/>
  <c r="HL34" i="4"/>
  <c r="HB34" i="4"/>
  <c r="EG34" i="4"/>
  <c r="DX34" i="4"/>
  <c r="BC34" i="4"/>
  <c r="AT34" i="4"/>
  <c r="HI34" i="4"/>
  <c r="GZ34" i="4"/>
  <c r="EE34" i="4"/>
  <c r="DV34" i="4"/>
  <c r="BA34" i="4"/>
  <c r="AH34" i="4"/>
  <c r="GW34" i="4"/>
  <c r="GN34" i="4"/>
  <c r="DR34" i="4"/>
  <c r="DI34" i="4"/>
  <c r="AN34" i="4"/>
  <c r="AE34" i="4"/>
  <c r="C34" i="4"/>
  <c r="DD34" i="4" s="1"/>
  <c r="BZ34" i="4"/>
  <c r="CR34" i="4"/>
  <c r="IH34" i="4"/>
  <c r="X34" i="4"/>
  <c r="FN34" i="4"/>
  <c r="GG34" i="4"/>
  <c r="Z34" i="4"/>
  <c r="DN34" i="4"/>
  <c r="EF34" i="4"/>
  <c r="EX34" i="4"/>
  <c r="GI34" i="4"/>
  <c r="AC34" i="4"/>
  <c r="AU34" i="4"/>
  <c r="BM34" i="4"/>
  <c r="CX34" i="4"/>
  <c r="GK34" i="4"/>
  <c r="HD34" i="4"/>
  <c r="HV34" i="4"/>
  <c r="J32" i="4"/>
  <c r="R32" i="4"/>
  <c r="Z32" i="4"/>
  <c r="AH32" i="4"/>
  <c r="AP32" i="4"/>
  <c r="AX32" i="4"/>
  <c r="BF32" i="4"/>
  <c r="BN32" i="4"/>
  <c r="BV32" i="4"/>
  <c r="CD32" i="4"/>
  <c r="CL32" i="4"/>
  <c r="CT32" i="4"/>
  <c r="DB32" i="4"/>
  <c r="DJ32" i="4"/>
  <c r="DS32" i="4"/>
  <c r="EB32" i="4"/>
  <c r="EM32" i="4"/>
  <c r="EY32" i="4"/>
  <c r="FL32" i="4"/>
  <c r="FY32" i="4"/>
  <c r="GL32" i="4"/>
  <c r="GY32" i="4"/>
  <c r="HK32" i="4"/>
  <c r="HX32" i="4"/>
  <c r="IK32" i="4"/>
  <c r="IX32" i="4"/>
  <c r="AZ33" i="4"/>
  <c r="BS33" i="4"/>
  <c r="CK33" i="4"/>
  <c r="DC33" i="4"/>
  <c r="DV33" i="4"/>
  <c r="GQ33" i="4"/>
  <c r="HI33" i="4"/>
  <c r="IA33" i="4"/>
  <c r="IT33" i="4"/>
  <c r="AX34" i="4"/>
  <c r="BQ34" i="4"/>
  <c r="CI34" i="4"/>
  <c r="DT34" i="4"/>
  <c r="HG34" i="4"/>
  <c r="HY34" i="4"/>
  <c r="IR34" i="4"/>
  <c r="L31" i="4" l="1"/>
  <c r="HV28" i="4"/>
  <c r="EL34" i="4"/>
  <c r="DP34" i="4"/>
  <c r="HA34" i="4"/>
  <c r="AS34" i="4"/>
  <c r="DL34" i="4"/>
  <c r="GF34" i="4"/>
  <c r="W34" i="4"/>
  <c r="BP34" i="4"/>
  <c r="FC34" i="4"/>
  <c r="IG34" i="4"/>
  <c r="CB34" i="4"/>
  <c r="FF34" i="4"/>
  <c r="IK34" i="4"/>
  <c r="CD34" i="4"/>
  <c r="FR34" i="4"/>
  <c r="IV34" i="4"/>
  <c r="CG34" i="4"/>
  <c r="FK34" i="4"/>
  <c r="IX34" i="4"/>
  <c r="CE34" i="4"/>
  <c r="FG34" i="4"/>
  <c r="DY31" i="4"/>
  <c r="GA31" i="4"/>
  <c r="DT31" i="4"/>
  <c r="AF31" i="4"/>
  <c r="HB31" i="4"/>
  <c r="BN30" i="4"/>
  <c r="EO28" i="4"/>
  <c r="BL28" i="4"/>
  <c r="CU28" i="4"/>
  <c r="GM28" i="4"/>
  <c r="AR28" i="4"/>
  <c r="ER28" i="4"/>
  <c r="IR28" i="4"/>
  <c r="DE28" i="4"/>
  <c r="GW28" i="4"/>
  <c r="BJ28" i="4"/>
  <c r="FJ28" i="4"/>
  <c r="DG28" i="4"/>
  <c r="IJ31" i="4"/>
  <c r="FB31" i="4"/>
  <c r="CS34" i="4"/>
  <c r="FM34" i="4"/>
  <c r="CH34" i="4"/>
  <c r="IP34" i="4"/>
  <c r="FP34" i="4"/>
  <c r="CW34" i="4"/>
  <c r="DG34" i="4"/>
  <c r="ER34" i="4"/>
  <c r="HS34" i="4"/>
  <c r="IW34" i="4"/>
  <c r="T34" i="4"/>
  <c r="GT34" i="4"/>
  <c r="FO34" i="4"/>
  <c r="HM34" i="4"/>
  <c r="DC31" i="4"/>
  <c r="GI31" i="4"/>
  <c r="EJ31" i="4"/>
  <c r="V31" i="4"/>
  <c r="CZ31" i="4"/>
  <c r="DY28" i="4"/>
  <c r="IF28" i="4"/>
  <c r="AV28" i="4"/>
  <c r="DC28" i="4"/>
  <c r="HC28" i="4"/>
  <c r="BH28" i="4"/>
  <c r="FH28" i="4"/>
  <c r="M28" i="4"/>
  <c r="DM28" i="4"/>
  <c r="HM28" i="4"/>
  <c r="BZ28" i="4"/>
  <c r="FZ28" i="4"/>
  <c r="CA28" i="4"/>
  <c r="FL34" i="4"/>
  <c r="CK34" i="4"/>
  <c r="IT34" i="4"/>
  <c r="GA34" i="4"/>
  <c r="L34" i="4"/>
  <c r="CP34" i="4"/>
  <c r="FT34" i="4"/>
  <c r="CM34" i="4"/>
  <c r="DA34" i="4"/>
  <c r="IN34" i="4"/>
  <c r="CF34" i="4"/>
  <c r="FQ34" i="4"/>
  <c r="IJ34" i="4"/>
  <c r="CA34" i="4"/>
  <c r="EC34" i="4"/>
  <c r="M34" i="4"/>
  <c r="CQ34" i="4"/>
  <c r="FU34" i="4"/>
  <c r="P34" i="4"/>
  <c r="CT34" i="4"/>
  <c r="FY34" i="4"/>
  <c r="AB34" i="4"/>
  <c r="DF34" i="4"/>
  <c r="GJ34" i="4"/>
  <c r="U34" i="4"/>
  <c r="CY34" i="4"/>
  <c r="GC34" i="4"/>
  <c r="S34" i="4"/>
  <c r="CU34" i="4"/>
  <c r="FW34" i="4"/>
  <c r="GB34" i="4"/>
  <c r="AQ31" i="4"/>
  <c r="IM31" i="4"/>
  <c r="FX31" i="4"/>
  <c r="DI31" i="4"/>
  <c r="J31" i="4"/>
  <c r="DB31" i="4"/>
  <c r="DL31" i="4"/>
  <c r="GY31" i="4"/>
  <c r="BC31" i="4"/>
  <c r="HF31" i="4"/>
  <c r="EY31" i="4"/>
  <c r="DU31" i="4"/>
  <c r="BU31" i="4"/>
  <c r="GT31" i="4"/>
  <c r="GV31" i="4"/>
  <c r="AZ31" i="4"/>
  <c r="EM31" i="4"/>
  <c r="BB31" i="4"/>
  <c r="II31" i="4"/>
  <c r="S31" i="4"/>
  <c r="HB30" i="4"/>
  <c r="CS28" i="4"/>
  <c r="HP28" i="4"/>
  <c r="Q28" i="4"/>
  <c r="DS28" i="4"/>
  <c r="HS28" i="4"/>
  <c r="BP28" i="4"/>
  <c r="FP28" i="4"/>
  <c r="AC28" i="4"/>
  <c r="EC28" i="4"/>
  <c r="IC28" i="4"/>
  <c r="CH28" i="4"/>
  <c r="GH28" i="4"/>
  <c r="BK28" i="4"/>
  <c r="BK31" i="4"/>
  <c r="HQ34" i="4"/>
  <c r="AP34" i="4"/>
  <c r="DJ34" i="4"/>
  <c r="V34" i="4"/>
  <c r="CZ34" i="4"/>
  <c r="GD34" i="4"/>
  <c r="Y34" i="4"/>
  <c r="GQ34" i="4"/>
  <c r="AK34" i="4"/>
  <c r="DO34" i="4"/>
  <c r="GS34" i="4"/>
  <c r="AD34" i="4"/>
  <c r="DH34" i="4"/>
  <c r="HE34" i="4"/>
  <c r="AA34" i="4"/>
  <c r="DC34" i="4"/>
  <c r="GE34" i="4"/>
  <c r="FJ34" i="4"/>
  <c r="W31" i="4"/>
  <c r="IU31" i="4"/>
  <c r="GF31" i="4"/>
  <c r="HY31" i="4"/>
  <c r="CC28" i="4"/>
  <c r="GJ28" i="4"/>
  <c r="AI28" i="4"/>
  <c r="EA28" i="4"/>
  <c r="IA28" i="4"/>
  <c r="CF28" i="4"/>
  <c r="GF28" i="4"/>
  <c r="AS28" i="4"/>
  <c r="EK28" i="4"/>
  <c r="IK28" i="4"/>
  <c r="CX28" i="4"/>
  <c r="GX28" i="4"/>
  <c r="IE28" i="4"/>
  <c r="EW28" i="4"/>
  <c r="HX28" i="4"/>
  <c r="EP28" i="4"/>
  <c r="FK28" i="4"/>
  <c r="GQ28" i="4"/>
  <c r="IO28" i="4"/>
  <c r="EF28" i="4"/>
  <c r="CY28" i="4"/>
  <c r="DR28" i="4"/>
  <c r="HY28" i="4"/>
  <c r="DP28" i="4"/>
  <c r="CT28" i="4"/>
  <c r="CD28" i="4"/>
  <c r="EG28" i="4"/>
  <c r="CZ28" i="4"/>
  <c r="BC28" i="4"/>
  <c r="DQ28" i="4"/>
  <c r="J28" i="4"/>
  <c r="O28" i="4"/>
  <c r="DA28" i="4"/>
  <c r="HZ28" i="4"/>
  <c r="IX28" i="4"/>
  <c r="BV28" i="4"/>
  <c r="K28" i="4"/>
  <c r="GL28" i="4"/>
  <c r="HG28" i="4"/>
  <c r="BS28" i="4"/>
  <c r="IN28" i="4"/>
  <c r="GD28" i="4"/>
  <c r="FN28" i="4"/>
  <c r="FF28" i="4"/>
  <c r="Z28" i="4"/>
  <c r="IH28" i="4"/>
  <c r="AU28" i="4"/>
  <c r="FS28" i="4"/>
  <c r="HN28" i="4"/>
  <c r="FB28" i="4"/>
  <c r="CP28" i="4"/>
  <c r="AD28" i="4"/>
  <c r="HE28" i="4"/>
  <c r="ES28" i="4"/>
  <c r="CG28" i="4"/>
  <c r="U28" i="4"/>
  <c r="GV28" i="4"/>
  <c r="EJ28" i="4"/>
  <c r="BX28" i="4"/>
  <c r="L28" i="4"/>
  <c r="GU28" i="4"/>
  <c r="EI28" i="4"/>
  <c r="BW28" i="4"/>
  <c r="AF28" i="4"/>
  <c r="FD28" i="4"/>
  <c r="BM28" i="4"/>
  <c r="GK28" i="4"/>
  <c r="IU28" i="4"/>
  <c r="CQ28" i="4"/>
  <c r="HO28" i="4"/>
  <c r="GP28" i="4"/>
  <c r="ED28" i="4"/>
  <c r="BR28" i="4"/>
  <c r="IS28" i="4"/>
  <c r="GG28" i="4"/>
  <c r="DU28" i="4"/>
  <c r="BI28" i="4"/>
  <c r="IJ28" i="4"/>
  <c r="FX28" i="4"/>
  <c r="DL28" i="4"/>
  <c r="AZ28" i="4"/>
  <c r="II28" i="4"/>
  <c r="FW28" i="4"/>
  <c r="DK28" i="4"/>
  <c r="AY28" i="4"/>
  <c r="CB28" i="4"/>
  <c r="GZ28" i="4"/>
  <c r="DI28" i="4"/>
  <c r="IG28" i="4"/>
  <c r="AH28" i="4"/>
  <c r="P28" i="4"/>
  <c r="EM28" i="4"/>
  <c r="ID28" i="4"/>
  <c r="FR28" i="4"/>
  <c r="DF28" i="4"/>
  <c r="AT28" i="4"/>
  <c r="HU28" i="4"/>
  <c r="FI28" i="4"/>
  <c r="CW28" i="4"/>
  <c r="AK28" i="4"/>
  <c r="HL28" i="4"/>
  <c r="EZ28" i="4"/>
  <c r="CN28" i="4"/>
  <c r="AB28" i="4"/>
  <c r="HK28" i="4"/>
  <c r="EY28" i="4"/>
  <c r="CM28" i="4"/>
  <c r="AA28" i="4"/>
  <c r="DX28" i="4"/>
  <c r="IV28" i="4"/>
  <c r="AG28" i="4"/>
  <c r="FE28" i="4"/>
  <c r="GT28" i="4"/>
  <c r="BG28" i="4"/>
  <c r="FG28" i="4"/>
  <c r="IY28" i="4"/>
  <c r="DD28" i="4"/>
  <c r="HD28" i="4"/>
  <c r="BQ28" i="4"/>
  <c r="FQ28" i="4"/>
  <c r="V28" i="4"/>
  <c r="DV28" i="4"/>
  <c r="HQ31" i="4"/>
  <c r="EQ31" i="4"/>
  <c r="IQ31" i="4"/>
  <c r="HQ28" i="4"/>
  <c r="EN28" i="4"/>
  <c r="GI28" i="4"/>
  <c r="FS34" i="4"/>
  <c r="J34" i="4"/>
  <c r="CC34" i="4"/>
  <c r="EV34" i="4"/>
  <c r="HP34" i="4"/>
  <c r="BH34" i="4"/>
  <c r="AW34" i="4"/>
  <c r="EB34" i="4"/>
  <c r="HF34" i="4"/>
  <c r="BJ34" i="4"/>
  <c r="EN34" i="4"/>
  <c r="HR34" i="4"/>
  <c r="BL34" i="4"/>
  <c r="EP34" i="4"/>
  <c r="HU34" i="4"/>
  <c r="BN34" i="4"/>
  <c r="ES34" i="4"/>
  <c r="IF34" i="4"/>
  <c r="AY34" i="4"/>
  <c r="EQ34" i="4"/>
  <c r="IA34" i="4"/>
  <c r="BD34" i="4"/>
  <c r="GK31" i="4"/>
  <c r="DO31" i="4"/>
  <c r="BH31" i="4"/>
  <c r="GJ31" i="4"/>
  <c r="BJ31" i="4"/>
  <c r="DJ30" i="4"/>
  <c r="IX30" i="4"/>
  <c r="DS30" i="4"/>
  <c r="EB30" i="4"/>
  <c r="HT30" i="4"/>
  <c r="CG30" i="4"/>
  <c r="GO30" i="4"/>
  <c r="AT30" i="4"/>
  <c r="ED30" i="4"/>
  <c r="IL30" i="4"/>
  <c r="EP30" i="4"/>
  <c r="AI30" i="4"/>
  <c r="FW30" i="4"/>
  <c r="AZ30" i="4"/>
  <c r="EZ30" i="4"/>
  <c r="U30" i="4"/>
  <c r="EC30" i="4"/>
  <c r="HM30" i="4"/>
  <c r="BR30" i="4"/>
  <c r="FZ30" i="4"/>
  <c r="FJ31" i="4"/>
  <c r="DR30" i="4"/>
  <c r="HA28" i="4"/>
  <c r="DH28" i="4"/>
  <c r="BO28" i="4"/>
  <c r="FO28" i="4"/>
  <c r="T28" i="4"/>
  <c r="DT28" i="4"/>
  <c r="HT28" i="4"/>
  <c r="BY28" i="4"/>
  <c r="FY28" i="4"/>
  <c r="AL28" i="4"/>
  <c r="EL28" i="4"/>
  <c r="IL28" i="4"/>
  <c r="FC28" i="4"/>
  <c r="CA31" i="4"/>
  <c r="IR31" i="4"/>
  <c r="GO34" i="4"/>
  <c r="N34" i="4"/>
  <c r="FD34" i="4"/>
  <c r="FA34" i="4"/>
  <c r="HT34" i="4"/>
  <c r="BK34" i="4"/>
  <c r="ED34" i="4"/>
  <c r="GX34" i="4"/>
  <c r="AO34" i="4"/>
  <c r="BF34" i="4"/>
  <c r="EK34" i="4"/>
  <c r="HX34" i="4"/>
  <c r="BS34" i="4"/>
  <c r="EW34" i="4"/>
  <c r="IB34" i="4"/>
  <c r="BU34" i="4"/>
  <c r="EZ34" i="4"/>
  <c r="IM34" i="4"/>
  <c r="BX34" i="4"/>
  <c r="FB34" i="4"/>
  <c r="IO34" i="4"/>
  <c r="BG34" i="4"/>
  <c r="EY34" i="4"/>
  <c r="II34" i="4"/>
  <c r="AL34" i="4"/>
  <c r="DW31" i="4"/>
  <c r="BX31" i="4"/>
  <c r="DM31" i="4"/>
  <c r="HM31" i="4"/>
  <c r="FO30" i="4"/>
  <c r="BR31" i="4"/>
  <c r="BV30" i="4"/>
  <c r="FU28" i="4"/>
  <c r="CR28" i="4"/>
  <c r="CE28" i="4"/>
  <c r="GE28" i="4"/>
  <c r="AJ28" i="4"/>
  <c r="EB28" i="4"/>
  <c r="IB28" i="4"/>
  <c r="CO28" i="4"/>
  <c r="GO28" i="4"/>
  <c r="BB28" i="4"/>
  <c r="ET28" i="4"/>
  <c r="IT28" i="4"/>
  <c r="DW28" i="4"/>
  <c r="BG26" i="4"/>
  <c r="EF26" i="4"/>
  <c r="FN26" i="4"/>
  <c r="HJ24" i="4"/>
  <c r="EN24" i="4"/>
  <c r="ED24" i="4"/>
  <c r="FD24" i="4"/>
  <c r="EK24" i="4"/>
  <c r="FK24" i="4"/>
  <c r="HM24" i="4"/>
  <c r="F24" i="4"/>
  <c r="EH24" i="4"/>
  <c r="CB24" i="4"/>
  <c r="AZ24" i="4"/>
  <c r="CR24" i="4"/>
  <c r="DS24" i="4"/>
  <c r="CP24" i="4"/>
  <c r="ER24" i="4"/>
  <c r="BT24" i="4"/>
  <c r="GI24" i="4"/>
  <c r="BV24" i="4"/>
  <c r="GY24" i="4"/>
  <c r="IR24" i="4"/>
  <c r="HF24" i="4"/>
  <c r="IF24" i="4"/>
  <c r="X24" i="4"/>
  <c r="BW24" i="4"/>
  <c r="DF24" i="4"/>
  <c r="HI24" i="4"/>
  <c r="GP24" i="4"/>
  <c r="II24" i="4"/>
  <c r="GW24" i="4"/>
  <c r="HW24" i="4"/>
  <c r="P24" i="4"/>
  <c r="BM24" i="4"/>
  <c r="EW24" i="4"/>
  <c r="GG24" i="4"/>
  <c r="FM24" i="4"/>
  <c r="GN24" i="4"/>
  <c r="FT24" i="4"/>
  <c r="BD24" i="4"/>
  <c r="EX24" i="4"/>
  <c r="HB33" i="4"/>
  <c r="CF33" i="4"/>
  <c r="HW33" i="4"/>
  <c r="DS33" i="4"/>
  <c r="AC33" i="4"/>
  <c r="FA33" i="4"/>
  <c r="DD33" i="4"/>
  <c r="HR33" i="4"/>
  <c r="GK33" i="4"/>
  <c r="GP26" i="4"/>
  <c r="ED26" i="4"/>
  <c r="BR26" i="4"/>
  <c r="HE26" i="4"/>
  <c r="ES26" i="4"/>
  <c r="CG26" i="4"/>
  <c r="U26" i="4"/>
  <c r="GV26" i="4"/>
  <c r="EJ26" i="4"/>
  <c r="BX26" i="4"/>
  <c r="L26" i="4"/>
  <c r="GR26" i="4"/>
  <c r="BV26" i="4"/>
  <c r="FK26" i="4"/>
  <c r="AV26" i="4"/>
  <c r="IO27" i="4"/>
  <c r="BY27" i="4"/>
  <c r="BT26" i="4"/>
  <c r="GS27" i="4"/>
  <c r="FT26" i="4"/>
  <c r="AT27" i="4"/>
  <c r="FS27" i="4"/>
  <c r="DH27" i="4"/>
  <c r="R27" i="4"/>
  <c r="GL27" i="4"/>
  <c r="EI27" i="4"/>
  <c r="AB27" i="4"/>
  <c r="AL24" i="4"/>
  <c r="FB24" i="4"/>
  <c r="AQ24" i="4"/>
  <c r="GT26" i="4"/>
  <c r="GL26" i="4"/>
  <c r="CM26" i="4"/>
  <c r="BO26" i="4"/>
  <c r="BS26" i="4"/>
  <c r="FV26" i="4"/>
  <c r="DO26" i="4"/>
  <c r="EO26" i="4"/>
  <c r="CR26" i="4"/>
  <c r="HY26" i="4"/>
  <c r="HO26" i="4"/>
  <c r="AE26" i="4"/>
  <c r="GK26" i="4"/>
  <c r="P26" i="4"/>
  <c r="IF26" i="4"/>
  <c r="AP26" i="4"/>
  <c r="HA26" i="4"/>
  <c r="AA26" i="4"/>
  <c r="BD26" i="4"/>
  <c r="BE26" i="4"/>
  <c r="GB26" i="4"/>
  <c r="BK26" i="4"/>
  <c r="EU26" i="4"/>
  <c r="AH26" i="4"/>
  <c r="BF26" i="4"/>
  <c r="FD26" i="4"/>
  <c r="AK24" i="4"/>
  <c r="IO24" i="4"/>
  <c r="BI24" i="4"/>
  <c r="EG26" i="4"/>
  <c r="AU26" i="4"/>
  <c r="EA26" i="4"/>
  <c r="DY24" i="4"/>
  <c r="AW24" i="4"/>
  <c r="EI33" i="4"/>
  <c r="AF33" i="4"/>
  <c r="FV33" i="4"/>
  <c r="BY33" i="4"/>
  <c r="GW33" i="4"/>
  <c r="FG33" i="4"/>
  <c r="DB30" i="4"/>
  <c r="EO33" i="4"/>
  <c r="EX33" i="4"/>
  <c r="ID26" i="4"/>
  <c r="FR26" i="4"/>
  <c r="DF26" i="4"/>
  <c r="AT26" i="4"/>
  <c r="IS26" i="4"/>
  <c r="GG26" i="4"/>
  <c r="DU26" i="4"/>
  <c r="BI26" i="4"/>
  <c r="IJ26" i="4"/>
  <c r="FX26" i="4"/>
  <c r="DL26" i="4"/>
  <c r="AZ26" i="4"/>
  <c r="IP26" i="4"/>
  <c r="EH26" i="4"/>
  <c r="X26" i="4"/>
  <c r="DH26" i="4"/>
  <c r="AG26" i="4"/>
  <c r="FU26" i="4"/>
  <c r="IN27" i="4"/>
  <c r="GV27" i="4"/>
  <c r="DT27" i="4"/>
  <c r="AZ27" i="4"/>
  <c r="IK27" i="4"/>
  <c r="FO27" i="4"/>
  <c r="CU27" i="4"/>
  <c r="AA27" i="4"/>
  <c r="HJ27" i="4"/>
  <c r="EX27" i="4"/>
  <c r="CL27" i="4"/>
  <c r="Z27" i="4"/>
  <c r="GZ27" i="4"/>
  <c r="EN27" i="4"/>
  <c r="CB27" i="4"/>
  <c r="P27" i="4"/>
  <c r="GQ27" i="4"/>
  <c r="EE27" i="4"/>
  <c r="BS27" i="4"/>
  <c r="Y27" i="4"/>
  <c r="GO27" i="4"/>
  <c r="CO27" i="4"/>
  <c r="DM27" i="4"/>
  <c r="IU27" i="4"/>
  <c r="FX27" i="4"/>
  <c r="DD27" i="4"/>
  <c r="AJ27" i="4"/>
  <c r="HS27" i="4"/>
  <c r="EY27" i="4"/>
  <c r="CE27" i="4"/>
  <c r="K27" i="4"/>
  <c r="GT27" i="4"/>
  <c r="EH27" i="4"/>
  <c r="BV27" i="4"/>
  <c r="J27" i="4"/>
  <c r="GJ27" i="4"/>
  <c r="DX27" i="4"/>
  <c r="BL27" i="4"/>
  <c r="IP27" i="4"/>
  <c r="GA27" i="4"/>
  <c r="DO27" i="4"/>
  <c r="BC27" i="4"/>
  <c r="BQ27" i="4"/>
  <c r="IE27" i="4"/>
  <c r="ED27" i="4"/>
  <c r="FB27" i="4"/>
  <c r="HT27" i="4"/>
  <c r="EZ27" i="4"/>
  <c r="CF27" i="4"/>
  <c r="L27" i="4"/>
  <c r="GU27" i="4"/>
  <c r="DS27" i="4"/>
  <c r="AY27" i="4"/>
  <c r="IJ27" i="4"/>
  <c r="FV27" i="4"/>
  <c r="DJ27" i="4"/>
  <c r="AX27" i="4"/>
  <c r="HY27" i="4"/>
  <c r="FL27" i="4"/>
  <c r="CZ27" i="4"/>
  <c r="AN27" i="4"/>
  <c r="HO27" i="4"/>
  <c r="FC27" i="4"/>
  <c r="CQ27" i="4"/>
  <c r="AE27" i="4"/>
  <c r="EC27" i="4"/>
  <c r="AC27" i="4"/>
  <c r="GP27" i="4"/>
  <c r="HN27" i="4"/>
  <c r="HL27" i="4"/>
  <c r="ER27" i="4"/>
  <c r="BX27" i="4"/>
  <c r="GE27" i="4"/>
  <c r="DK27" i="4"/>
  <c r="AQ27" i="4"/>
  <c r="IA27" i="4"/>
  <c r="FN27" i="4"/>
  <c r="DB27" i="4"/>
  <c r="AP27" i="4"/>
  <c r="HP27" i="4"/>
  <c r="FD27" i="4"/>
  <c r="CR27" i="4"/>
  <c r="AF27" i="4"/>
  <c r="HG27" i="4"/>
  <c r="EU27" i="4"/>
  <c r="CI27" i="4"/>
  <c r="W27" i="4"/>
  <c r="EW27" i="4"/>
  <c r="AW27" i="4"/>
  <c r="HM27" i="4"/>
  <c r="IM27" i="4"/>
  <c r="IV27" i="4"/>
  <c r="HD27" i="4"/>
  <c r="EJ27" i="4"/>
  <c r="BH27" i="4"/>
  <c r="IT27" i="4"/>
  <c r="FW27" i="4"/>
  <c r="DC27" i="4"/>
  <c r="AI27" i="4"/>
  <c r="HR27" i="4"/>
  <c r="FF27" i="4"/>
  <c r="CT27" i="4"/>
  <c r="AH27" i="4"/>
  <c r="HH27" i="4"/>
  <c r="EV27" i="4"/>
  <c r="CJ27" i="4"/>
  <c r="X27" i="4"/>
  <c r="GY27" i="4"/>
  <c r="EM27" i="4"/>
  <c r="CA27" i="4"/>
  <c r="O27" i="4"/>
  <c r="FR27" i="4"/>
  <c r="BR27" i="4"/>
  <c r="II27" i="4"/>
  <c r="CP27" i="4"/>
  <c r="HC27" i="4"/>
  <c r="CV27" i="4"/>
  <c r="GY26" i="4"/>
  <c r="EI24" i="4"/>
  <c r="EB24" i="4"/>
  <c r="L24" i="4"/>
  <c r="DW26" i="4"/>
  <c r="J26" i="4"/>
  <c r="HW26" i="4"/>
  <c r="CT26" i="4"/>
  <c r="FW26" i="4"/>
  <c r="FE26" i="4"/>
  <c r="DZ26" i="4"/>
  <c r="HT24" i="4"/>
  <c r="GU24" i="4"/>
  <c r="AH24" i="4"/>
  <c r="CK24" i="4"/>
  <c r="HZ26" i="4"/>
  <c r="IU26" i="4"/>
  <c r="DI26" i="4"/>
  <c r="HG26" i="4"/>
  <c r="CI26" i="4"/>
  <c r="FG26" i="4"/>
  <c r="CD26" i="4"/>
  <c r="DA26" i="4"/>
  <c r="M24" i="4"/>
  <c r="CI24" i="4"/>
  <c r="CD24" i="4"/>
  <c r="HF26" i="4"/>
  <c r="ET26" i="4"/>
  <c r="CH26" i="4"/>
  <c r="V26" i="4"/>
  <c r="HU26" i="4"/>
  <c r="FI26" i="4"/>
  <c r="CW26" i="4"/>
  <c r="AK26" i="4"/>
  <c r="HL26" i="4"/>
  <c r="EZ26" i="4"/>
  <c r="CN26" i="4"/>
  <c r="AB26" i="4"/>
  <c r="HR26" i="4"/>
  <c r="HX26" i="4"/>
  <c r="CU26" i="4"/>
  <c r="GQ26" i="4"/>
  <c r="BU26" i="4"/>
  <c r="EQ26" i="4"/>
  <c r="IG26" i="4"/>
  <c r="AF24" i="4"/>
  <c r="DA24" i="4"/>
  <c r="CL24" i="4"/>
  <c r="HG29" i="4"/>
  <c r="EB29" i="4"/>
  <c r="EC20" i="4"/>
  <c r="EB20" i="4"/>
  <c r="GF20" i="4"/>
  <c r="GA20" i="4"/>
  <c r="EN20" i="4"/>
  <c r="BM20" i="4"/>
  <c r="R20" i="4"/>
  <c r="HR20" i="4"/>
  <c r="DS20" i="4"/>
  <c r="AC18" i="4"/>
  <c r="GL13" i="4"/>
  <c r="N13" i="4"/>
  <c r="FF13" i="4"/>
  <c r="GZ13" i="4"/>
  <c r="HN13" i="4"/>
  <c r="BN13" i="4"/>
  <c r="ID13" i="4"/>
  <c r="HY13" i="4"/>
  <c r="CE13" i="4"/>
  <c r="FO13" i="4"/>
  <c r="IQ13" i="4"/>
  <c r="CF13" i="4"/>
  <c r="FP13" i="4"/>
  <c r="GO13" i="4"/>
  <c r="EL13" i="4"/>
  <c r="EI15" i="4"/>
  <c r="DJ15" i="4"/>
  <c r="HY8" i="4"/>
  <c r="FN8" i="4"/>
  <c r="R8" i="4"/>
  <c r="DH8" i="4"/>
  <c r="GF8" i="4"/>
  <c r="HI8" i="4"/>
  <c r="FW8" i="4"/>
  <c r="AU29" i="4"/>
  <c r="DF20" i="4"/>
  <c r="DE20" i="4"/>
  <c r="IT18" i="4"/>
  <c r="AG18" i="4"/>
  <c r="BS18" i="4"/>
  <c r="FI20" i="4"/>
  <c r="GI20" i="4"/>
  <c r="EV20" i="4"/>
  <c r="DI20" i="4"/>
  <c r="Z20" i="4"/>
  <c r="HZ20" i="4"/>
  <c r="EA20" i="4"/>
  <c r="GE18" i="4"/>
  <c r="T18" i="4"/>
  <c r="HR13" i="4"/>
  <c r="DR13" i="4"/>
  <c r="Z13" i="4"/>
  <c r="HF13" i="4"/>
  <c r="CW13" i="4"/>
  <c r="K13" i="4"/>
  <c r="CU13" i="4"/>
  <c r="FW13" i="4"/>
  <c r="IX13" i="4"/>
  <c r="CN13" i="4"/>
  <c r="FX13" i="4"/>
  <c r="GW13" i="4"/>
  <c r="EX14" i="4"/>
  <c r="IY14" i="4"/>
  <c r="CU14" i="4"/>
  <c r="DZ13" i="4"/>
  <c r="GZ16" i="4"/>
  <c r="AN16" i="4"/>
  <c r="DW16" i="4"/>
  <c r="GV16" i="4"/>
  <c r="AJ16" i="4"/>
  <c r="EI16" i="4"/>
  <c r="HQ16" i="4"/>
  <c r="GH16" i="4"/>
  <c r="DS16" i="4"/>
  <c r="GR16" i="4"/>
  <c r="X16" i="4"/>
  <c r="DO16" i="4"/>
  <c r="GN16" i="4"/>
  <c r="T16" i="4"/>
  <c r="EA16" i="4"/>
  <c r="HA16" i="4"/>
  <c r="FB16" i="4"/>
  <c r="DF16" i="4"/>
  <c r="AC16" i="4"/>
  <c r="GJ16" i="4"/>
  <c r="P16" i="4"/>
  <c r="CY16" i="4"/>
  <c r="GF16" i="4"/>
  <c r="L16" i="4"/>
  <c r="IX16" i="4"/>
  <c r="GK16" i="4"/>
  <c r="DV16" i="4"/>
  <c r="CT16" i="4"/>
  <c r="BB16" i="4"/>
  <c r="EF16" i="4"/>
  <c r="DX16" i="4"/>
  <c r="GY16" i="4"/>
  <c r="AM16" i="4"/>
  <c r="DT16" i="4"/>
  <c r="HK16" i="4"/>
  <c r="DZ16" i="4"/>
  <c r="BY16" i="4"/>
  <c r="Y16" i="4"/>
  <c r="BE16" i="4"/>
  <c r="DP16" i="4"/>
  <c r="GQ16" i="4"/>
  <c r="W16" i="4"/>
  <c r="DL16" i="4"/>
  <c r="HC16" i="4"/>
  <c r="DA16" i="4"/>
  <c r="BM16" i="4"/>
  <c r="K16" i="4"/>
  <c r="DC16" i="4"/>
  <c r="GI16" i="4"/>
  <c r="HW15" i="4"/>
  <c r="AN15" i="4"/>
  <c r="CN11" i="4"/>
  <c r="GT11" i="4"/>
  <c r="DB11" i="4"/>
  <c r="FL29" i="4"/>
  <c r="CN20" i="4"/>
  <c r="II18" i="4"/>
  <c r="N18" i="4"/>
  <c r="DW18" i="4"/>
  <c r="U20" i="4"/>
  <c r="GQ20" i="4"/>
  <c r="FD20" i="4"/>
  <c r="DY20" i="4"/>
  <c r="CD20" i="4"/>
  <c r="IH20" i="4"/>
  <c r="GE20" i="4"/>
  <c r="FU18" i="4"/>
  <c r="HG13" i="4"/>
  <c r="DH13" i="4"/>
  <c r="P13" i="4"/>
  <c r="GR13" i="4"/>
  <c r="CA13" i="4"/>
  <c r="AA13" i="4"/>
  <c r="DC13" i="4"/>
  <c r="GE13" i="4"/>
  <c r="L13" i="4"/>
  <c r="CV13" i="4"/>
  <c r="GV13" i="4"/>
  <c r="HM13" i="4"/>
  <c r="HC14" i="4"/>
  <c r="EA14" i="4"/>
  <c r="AY14" i="4"/>
  <c r="IH14" i="4"/>
  <c r="FN14" i="4"/>
  <c r="CL14" i="4"/>
  <c r="R14" i="4"/>
  <c r="GS14" i="4"/>
  <c r="DY14" i="4"/>
  <c r="BE14" i="4"/>
  <c r="HW14" i="4"/>
  <c r="FC14" i="4"/>
  <c r="IJ14" i="4"/>
  <c r="GE14" i="4"/>
  <c r="DC14" i="4"/>
  <c r="S14" i="4"/>
  <c r="HB14" i="4"/>
  <c r="EH14" i="4"/>
  <c r="BN14" i="4"/>
  <c r="IO14" i="4"/>
  <c r="FU14" i="4"/>
  <c r="DA14" i="4"/>
  <c r="Y14" i="4"/>
  <c r="GQ14" i="4"/>
  <c r="DK14" i="4"/>
  <c r="IA14" i="4"/>
  <c r="DF13" i="4"/>
  <c r="AY16" i="4"/>
  <c r="AZ16" i="4"/>
  <c r="HG16" i="4"/>
  <c r="IJ15" i="4"/>
  <c r="GM20" i="4"/>
  <c r="GK20" i="4"/>
  <c r="CT20" i="4"/>
  <c r="AI20" i="4"/>
  <c r="GU20" i="4"/>
  <c r="HC15" i="4"/>
  <c r="BG15" i="4"/>
  <c r="AH15" i="4"/>
  <c r="GA15" i="4"/>
  <c r="HL15" i="4"/>
  <c r="EA15" i="4"/>
  <c r="DM15" i="4"/>
  <c r="HA15" i="4"/>
  <c r="FA15" i="4"/>
  <c r="GM15" i="4"/>
  <c r="DP15" i="4"/>
  <c r="AR15" i="4"/>
  <c r="GK15" i="4"/>
  <c r="EN15" i="4"/>
  <c r="CX15" i="4"/>
  <c r="CW15" i="4"/>
  <c r="AI15" i="4"/>
  <c r="HB15" i="4"/>
  <c r="ID15" i="4"/>
  <c r="BO15" i="4"/>
  <c r="CF15" i="4"/>
  <c r="AB15" i="4"/>
  <c r="P15" i="4"/>
  <c r="GL15" i="4"/>
  <c r="HV15" i="4"/>
  <c r="BE15" i="4"/>
  <c r="BW15" i="4"/>
  <c r="IS15" i="4"/>
  <c r="EF15" i="4"/>
  <c r="DR15" i="4"/>
  <c r="FB15" i="4"/>
  <c r="AV15" i="4"/>
  <c r="IV15" i="4"/>
  <c r="IF15" i="4"/>
  <c r="GE15" i="4"/>
  <c r="FE18" i="4"/>
  <c r="IJ18" i="4"/>
  <c r="GQ18" i="4"/>
  <c r="CY20" i="4"/>
  <c r="BT20" i="4"/>
  <c r="HX20" i="4"/>
  <c r="GS20" i="4"/>
  <c r="EX20" i="4"/>
  <c r="AQ20" i="4"/>
  <c r="IY20" i="4"/>
  <c r="CP18" i="4"/>
  <c r="GD18" i="4"/>
  <c r="FP15" i="4"/>
  <c r="FT13" i="4"/>
  <c r="BR13" i="4"/>
  <c r="DO15" i="4"/>
  <c r="EM13" i="4"/>
  <c r="AK13" i="4"/>
  <c r="AY13" i="4"/>
  <c r="EI13" i="4"/>
  <c r="HK13" i="4"/>
  <c r="AJ13" i="4"/>
  <c r="EJ13" i="4"/>
  <c r="IB13" i="4"/>
  <c r="IS13" i="4"/>
  <c r="DL15" i="4"/>
  <c r="DO14" i="4"/>
  <c r="DW14" i="4"/>
  <c r="HO14" i="4"/>
  <c r="BU14" i="4"/>
  <c r="FM14" i="4"/>
  <c r="J14" i="4"/>
  <c r="DJ14" i="4"/>
  <c r="GT14" i="4"/>
  <c r="AQ14" i="4"/>
  <c r="FG14" i="4"/>
  <c r="IR14" i="4"/>
  <c r="X13" i="4"/>
  <c r="BU16" i="4"/>
  <c r="BZ16" i="4"/>
  <c r="HD16" i="4"/>
  <c r="HH16" i="4"/>
  <c r="ED15" i="4"/>
  <c r="FF8" i="4"/>
  <c r="DB18" i="4"/>
  <c r="IR18" i="4"/>
  <c r="GY18" i="4"/>
  <c r="DO20" i="4"/>
  <c r="CB20" i="4"/>
  <c r="AO20" i="4"/>
  <c r="HA20" i="4"/>
  <c r="FF20" i="4"/>
  <c r="BG20" i="4"/>
  <c r="BX18" i="4"/>
  <c r="DQ18" i="4"/>
  <c r="EQ15" i="4"/>
  <c r="EX13" i="4"/>
  <c r="BF13" i="4"/>
  <c r="CV15" i="4"/>
  <c r="IP13" i="4"/>
  <c r="EC13" i="4"/>
  <c r="Y13" i="4"/>
  <c r="BG13" i="4"/>
  <c r="EQ13" i="4"/>
  <c r="HS13" i="4"/>
  <c r="AZ13" i="4"/>
  <c r="EZ13" i="4"/>
  <c r="IJ13" i="4"/>
  <c r="IL14" i="4"/>
  <c r="DD14" i="4"/>
  <c r="EE14" i="4"/>
  <c r="IE14" i="4"/>
  <c r="CC14" i="4"/>
  <c r="GC14" i="4"/>
  <c r="Z14" i="4"/>
  <c r="DR14" i="4"/>
  <c r="HJ14" i="4"/>
  <c r="BG14" i="4"/>
  <c r="FO14" i="4"/>
  <c r="HP13" i="4"/>
  <c r="HZ16" i="4"/>
  <c r="HR16" i="4"/>
  <c r="O16" i="4"/>
  <c r="HD15" i="4"/>
  <c r="ET15" i="4"/>
  <c r="FZ12" i="4"/>
  <c r="FQ12" i="4"/>
  <c r="EP12" i="4"/>
  <c r="EO12" i="4"/>
  <c r="EB12" i="4"/>
  <c r="EV12" i="4"/>
  <c r="GA12" i="4"/>
  <c r="BL12" i="4"/>
  <c r="GM12" i="4"/>
  <c r="BU12" i="4"/>
  <c r="FB12" i="4"/>
  <c r="FA12" i="4"/>
  <c r="EF12" i="4"/>
  <c r="EE12" i="4"/>
  <c r="DR12" i="4"/>
  <c r="EJ12" i="4"/>
  <c r="GU12" i="4"/>
  <c r="DB12" i="4"/>
  <c r="IE12" i="4"/>
  <c r="CQ12" i="4"/>
  <c r="CP12" i="4"/>
  <c r="CO12" i="4"/>
  <c r="AX12" i="4"/>
  <c r="AW12" i="4"/>
  <c r="AN12" i="4"/>
  <c r="CJ12" i="4"/>
  <c r="HQ12" i="4"/>
  <c r="ER12" i="4"/>
  <c r="M12" i="4"/>
  <c r="DK12" i="4"/>
  <c r="BZ12" i="4"/>
  <c r="CG12" i="4"/>
  <c r="AP12" i="4"/>
  <c r="AO12" i="4"/>
  <c r="P12" i="4"/>
  <c r="BD12" i="4"/>
  <c r="AC12" i="4"/>
  <c r="FC12" i="4"/>
  <c r="BR12" i="4"/>
  <c r="BY12" i="4"/>
  <c r="AH12" i="4"/>
  <c r="Q12" i="4"/>
  <c r="AD12" i="4"/>
  <c r="CI12" i="4"/>
  <c r="AE12" i="4"/>
  <c r="II12" i="4"/>
  <c r="BJ12" i="4"/>
  <c r="BQ12" i="4"/>
  <c r="J12" i="4"/>
  <c r="IF12" i="4"/>
  <c r="IX12" i="4"/>
  <c r="N12" i="4"/>
  <c r="EU12" i="4"/>
  <c r="CK12" i="4"/>
  <c r="IW12" i="4"/>
  <c r="FP12" i="4"/>
  <c r="GO12" i="4"/>
  <c r="ET20" i="4"/>
  <c r="CS18" i="4"/>
  <c r="BC18" i="4"/>
  <c r="HG18" i="4"/>
  <c r="GX20" i="4"/>
  <c r="DW20" i="4"/>
  <c r="CJ20" i="4"/>
  <c r="AW20" i="4"/>
  <c r="J20" i="4"/>
  <c r="FN20" i="4"/>
  <c r="U18" i="4"/>
  <c r="AL18" i="4"/>
  <c r="M15" i="4"/>
  <c r="IT13" i="4"/>
  <c r="EN13" i="4"/>
  <c r="AV13" i="4"/>
  <c r="IE13" i="4"/>
  <c r="DQ13" i="4"/>
  <c r="O13" i="4"/>
  <c r="BW13" i="4"/>
  <c r="EY13" i="4"/>
  <c r="II13" i="4"/>
  <c r="BP13" i="4"/>
  <c r="FH13" i="4"/>
  <c r="FY13" i="4"/>
  <c r="HV14" i="4"/>
  <c r="CP14" i="4"/>
  <c r="EM14" i="4"/>
  <c r="IM14" i="4"/>
  <c r="CK14" i="4"/>
  <c r="GK14" i="4"/>
  <c r="AP14" i="4"/>
  <c r="DZ14" i="4"/>
  <c r="HZ14" i="4"/>
  <c r="BO14" i="4"/>
  <c r="FW14" i="4"/>
  <c r="GQ13" i="4"/>
  <c r="IP16" i="4"/>
  <c r="GM16" i="4"/>
  <c r="BC16" i="4"/>
  <c r="DX15" i="4"/>
  <c r="AP15" i="4"/>
  <c r="GW12" i="4"/>
  <c r="K5" i="3"/>
  <c r="J5" i="5" s="1"/>
  <c r="M5" i="3"/>
  <c r="L5" i="3" s="1"/>
  <c r="K5" i="5" s="1"/>
  <c r="AB7" i="4"/>
  <c r="GW7" i="4"/>
  <c r="GC7" i="4"/>
  <c r="K7" i="4"/>
  <c r="AJ7" i="4"/>
  <c r="CP7" i="4"/>
  <c r="CI8" i="4"/>
  <c r="DP8" i="4"/>
  <c r="Z8" i="4"/>
  <c r="M15" i="3"/>
  <c r="L15" i="3" s="1"/>
  <c r="K15" i="5" s="1"/>
  <c r="BB9" i="4"/>
  <c r="EV9" i="4"/>
  <c r="DJ10" i="4"/>
  <c r="HW10" i="4"/>
  <c r="Q10" i="4"/>
  <c r="DH10" i="4"/>
  <c r="GY5" i="4"/>
  <c r="EM5" i="4"/>
  <c r="CA5" i="4"/>
  <c r="O5" i="4"/>
  <c r="HN5" i="4"/>
  <c r="FB5" i="4"/>
  <c r="CP5" i="4"/>
  <c r="AD5" i="4"/>
  <c r="HJ6" i="4"/>
  <c r="HM5" i="4"/>
  <c r="ES5" i="4"/>
  <c r="BY5" i="4"/>
  <c r="AP7" i="4"/>
  <c r="AI7" i="4"/>
  <c r="EZ7" i="4"/>
  <c r="BB7" i="4"/>
  <c r="HS5" i="4"/>
  <c r="EY5" i="4"/>
  <c r="CE5" i="4"/>
  <c r="K5" i="4"/>
  <c r="M30" i="3"/>
  <c r="L30" i="3" s="1"/>
  <c r="K30" i="5" s="1"/>
  <c r="CM8" i="4"/>
  <c r="DU8" i="4"/>
  <c r="ET8" i="4"/>
  <c r="CQ8" i="4"/>
  <c r="IM8" i="4"/>
  <c r="AH8" i="4"/>
  <c r="FB9" i="4"/>
  <c r="GL9" i="4"/>
  <c r="IU5" i="4"/>
  <c r="M12" i="3"/>
  <c r="L12" i="3" s="1"/>
  <c r="K12" i="5" s="1"/>
  <c r="GF10" i="4"/>
  <c r="BH10" i="4"/>
  <c r="EO17" i="4"/>
  <c r="HF17" i="4"/>
  <c r="BH17" i="4"/>
  <c r="DT17" i="4"/>
  <c r="GH17" i="4"/>
  <c r="X11" i="4"/>
  <c r="CY10" i="4"/>
  <c r="IT10" i="4"/>
  <c r="CR10" i="4"/>
  <c r="IL7" i="4"/>
  <c r="ED6" i="4"/>
  <c r="HM6" i="4"/>
  <c r="GQ5" i="4"/>
  <c r="EE5" i="4"/>
  <c r="BS5" i="4"/>
  <c r="F5" i="4"/>
  <c r="HE7" i="4"/>
  <c r="AZ6" i="4"/>
  <c r="HF5" i="4"/>
  <c r="ET5" i="4"/>
  <c r="CH5" i="4"/>
  <c r="V5" i="4"/>
  <c r="GD6" i="4"/>
  <c r="HE5" i="4"/>
  <c r="EK5" i="4"/>
  <c r="BQ5" i="4"/>
  <c r="AX7" i="4"/>
  <c r="AQ7" i="4"/>
  <c r="FH7" i="4"/>
  <c r="FJ6" i="4"/>
  <c r="HK5" i="4"/>
  <c r="EQ5" i="4"/>
  <c r="BO5" i="4"/>
  <c r="M28" i="3"/>
  <c r="L28" i="3" s="1"/>
  <c r="K28" i="5" s="1"/>
  <c r="DC8" i="4"/>
  <c r="EM8" i="4"/>
  <c r="FL8" i="4"/>
  <c r="CY8" i="4"/>
  <c r="IV8" i="4"/>
  <c r="ES8" i="4"/>
  <c r="HB9" i="4"/>
  <c r="FK9" i="4"/>
  <c r="GV9" i="4"/>
  <c r="DF9" i="4"/>
  <c r="CI10" i="4"/>
  <c r="II10" i="4"/>
  <c r="DB10" i="4"/>
  <c r="HF7" i="4"/>
  <c r="GI5" i="4"/>
  <c r="DW5" i="4"/>
  <c r="BK5" i="4"/>
  <c r="FI7" i="4"/>
  <c r="GX5" i="4"/>
  <c r="EL5" i="4"/>
  <c r="BZ5" i="4"/>
  <c r="N5" i="4"/>
  <c r="GW5" i="4"/>
  <c r="EC5" i="4"/>
  <c r="BI5" i="4"/>
  <c r="CB7" i="4"/>
  <c r="BF7" i="4"/>
  <c r="EI7" i="4"/>
  <c r="BE6" i="4"/>
  <c r="EH6" i="4"/>
  <c r="HC5" i="4"/>
  <c r="EA5" i="4"/>
  <c r="BG5" i="4"/>
  <c r="M32" i="3"/>
  <c r="L32" i="3" s="1"/>
  <c r="K32" i="5" s="1"/>
  <c r="M13" i="3"/>
  <c r="L13" i="3" s="1"/>
  <c r="K13" i="5" s="1"/>
  <c r="FC8" i="4"/>
  <c r="GP8" i="4"/>
  <c r="HO8" i="4"/>
  <c r="HT8" i="4"/>
  <c r="Q8" i="4"/>
  <c r="FB8" i="4"/>
  <c r="AE9" i="4"/>
  <c r="BR9" i="4"/>
  <c r="CW9" i="4"/>
  <c r="IJ8" i="4"/>
  <c r="HR10" i="4"/>
  <c r="BT10" i="4"/>
  <c r="GM10" i="4"/>
  <c r="AU7" i="4"/>
  <c r="IM5" i="4"/>
  <c r="GA5" i="4"/>
  <c r="DO5" i="4"/>
  <c r="BC5" i="4"/>
  <c r="DM7" i="4"/>
  <c r="GP5" i="4"/>
  <c r="ED5" i="4"/>
  <c r="BR5" i="4"/>
  <c r="BG6" i="4"/>
  <c r="GO5" i="4"/>
  <c r="DU5" i="4"/>
  <c r="BA5" i="4"/>
  <c r="BQ7" i="4"/>
  <c r="FN7" i="4"/>
  <c r="FG7" i="4"/>
  <c r="Y6" i="4"/>
  <c r="GM5" i="4"/>
  <c r="DS5" i="4"/>
  <c r="AY5" i="4"/>
  <c r="HF8" i="4"/>
  <c r="IS8" i="4"/>
  <c r="IC8" i="4"/>
  <c r="DY8" i="4"/>
  <c r="FK8" i="4"/>
  <c r="AX9" i="4"/>
  <c r="CA9" i="4"/>
  <c r="FZ9" i="4"/>
  <c r="EB10" i="4"/>
  <c r="AJ10" i="4"/>
  <c r="DA17" i="4"/>
  <c r="FM17" i="4"/>
  <c r="T17" i="4"/>
  <c r="CF17" i="4"/>
  <c r="ER17" i="4"/>
  <c r="HJ17" i="4"/>
  <c r="HB10" i="4"/>
  <c r="BE10" i="4"/>
  <c r="IG10" i="4"/>
  <c r="AG7" i="4"/>
  <c r="AK6" i="4"/>
  <c r="IE5" i="4"/>
  <c r="FS5" i="4"/>
  <c r="DG5" i="4"/>
  <c r="AU5" i="4"/>
  <c r="F7" i="4"/>
  <c r="IT5" i="4"/>
  <c r="GH5" i="4"/>
  <c r="DV5" i="4"/>
  <c r="BJ5" i="4"/>
  <c r="IF7" i="4"/>
  <c r="AI6" i="4"/>
  <c r="GG5" i="4"/>
  <c r="DM5" i="4"/>
  <c r="AK5" i="4"/>
  <c r="BC7" i="4"/>
  <c r="FV7" i="4"/>
  <c r="FO7" i="4"/>
  <c r="IY5" i="4"/>
  <c r="GE5" i="4"/>
  <c r="DK5" i="4"/>
  <c r="AQ5" i="4"/>
  <c r="DD8" i="4"/>
  <c r="EN8" i="4"/>
  <c r="EU8" i="4"/>
  <c r="IL8" i="4"/>
  <c r="EI8" i="4"/>
  <c r="EX8" i="4"/>
  <c r="DB9" i="4"/>
  <c r="HQ9" i="4"/>
  <c r="P9" i="4"/>
  <c r="K24" i="3"/>
  <c r="J24" i="5" s="1"/>
  <c r="M29" i="3"/>
  <c r="L29" i="3" s="1"/>
  <c r="K29" i="5" s="1"/>
  <c r="AB17" i="4"/>
  <c r="CN17" i="4"/>
  <c r="EZ17" i="4"/>
  <c r="GL10" i="4"/>
  <c r="AQ10" i="4"/>
  <c r="HQ10" i="4"/>
  <c r="V7" i="4"/>
  <c r="DE6" i="4"/>
  <c r="HW5" i="4"/>
  <c r="FK5" i="4"/>
  <c r="CY5" i="4"/>
  <c r="IL5" i="4"/>
  <c r="FZ5" i="4"/>
  <c r="DN5" i="4"/>
  <c r="BB5" i="4"/>
  <c r="GJ7" i="4"/>
  <c r="IS5" i="4"/>
  <c r="FY5" i="4"/>
  <c r="CW5" i="4"/>
  <c r="AC5" i="4"/>
  <c r="M27" i="3"/>
  <c r="L27" i="3" s="1"/>
  <c r="K27" i="5" s="1"/>
  <c r="FM7" i="4"/>
  <c r="GD7" i="4"/>
  <c r="BL7" i="4"/>
  <c r="IQ5" i="4"/>
  <c r="FW5" i="4"/>
  <c r="DC5" i="4"/>
  <c r="AI5" i="4"/>
  <c r="DT8" i="4"/>
  <c r="FG8" i="4"/>
  <c r="FM8" i="4"/>
  <c r="CZ8" i="4"/>
  <c r="ER8" i="4"/>
  <c r="DT9" i="4"/>
  <c r="DV9" i="4"/>
  <c r="X9" i="4"/>
  <c r="M25" i="3"/>
  <c r="L25" i="3" s="1"/>
  <c r="K25" i="5" s="1"/>
  <c r="K12" i="3"/>
  <c r="J12" i="5" s="1"/>
  <c r="DK29" i="4"/>
  <c r="HW29" i="4"/>
  <c r="GR33" i="4"/>
  <c r="DW33" i="4"/>
  <c r="BB33" i="4"/>
  <c r="IW33" i="4"/>
  <c r="GT33" i="4"/>
  <c r="GB33" i="4"/>
  <c r="DY33" i="4"/>
  <c r="DG33" i="4"/>
  <c r="BD33" i="4"/>
  <c r="AL33" i="4"/>
  <c r="FU33" i="4"/>
  <c r="AE33" i="4"/>
  <c r="EH33" i="4"/>
  <c r="IL33" i="4"/>
  <c r="CU33" i="4"/>
  <c r="GH33" i="4"/>
  <c r="AQ33" i="4"/>
  <c r="HL33" i="4"/>
  <c r="BW33" i="4"/>
  <c r="ER33" i="4"/>
  <c r="HN33" i="4"/>
  <c r="AO33" i="4"/>
  <c r="DJ33" i="4"/>
  <c r="GE33" i="4"/>
  <c r="U33" i="4"/>
  <c r="CG33" i="4"/>
  <c r="ES33" i="4"/>
  <c r="HE33" i="4"/>
  <c r="FZ33" i="4"/>
  <c r="GU31" i="4"/>
  <c r="DN31" i="4"/>
  <c r="AG31" i="4"/>
  <c r="BS31" i="4"/>
  <c r="EE31" i="4"/>
  <c r="GQ31" i="4"/>
  <c r="BP31" i="4"/>
  <c r="EB31" i="4"/>
  <c r="GN31" i="4"/>
  <c r="CN33" i="4"/>
  <c r="FY31" i="4"/>
  <c r="CR31" i="4"/>
  <c r="M31" i="4"/>
  <c r="HN31" i="4"/>
  <c r="EG31" i="4"/>
  <c r="AY31" i="4"/>
  <c r="GG31" i="4"/>
  <c r="CO31" i="4"/>
  <c r="IY30" i="4"/>
  <c r="GE30" i="4"/>
  <c r="DK30" i="4"/>
  <c r="AQ30" i="4"/>
  <c r="Y33" i="4"/>
  <c r="GZ33" i="4"/>
  <c r="EF33" i="4"/>
  <c r="AU33" i="4"/>
  <c r="HC33" i="4"/>
  <c r="DR33" i="4"/>
  <c r="IG31" i="4"/>
  <c r="EO31" i="4"/>
  <c r="AL31" i="4"/>
  <c r="GT30" i="4"/>
  <c r="DZ30" i="4"/>
  <c r="BF30" i="4"/>
  <c r="BL29" i="4"/>
  <c r="CX29" i="4"/>
  <c r="FI29" i="4"/>
  <c r="IO29" i="4"/>
  <c r="BK29" i="4"/>
  <c r="FT29" i="4"/>
  <c r="CC29" i="4"/>
  <c r="HA29" i="4"/>
  <c r="DB29" i="4"/>
  <c r="IW29" i="4"/>
  <c r="DS29" i="4"/>
  <c r="L29" i="4"/>
  <c r="EJ29" i="4"/>
  <c r="IB29" i="4"/>
  <c r="IE29" i="4"/>
  <c r="CR11" i="4"/>
  <c r="GD11" i="4"/>
  <c r="GM11" i="4"/>
  <c r="HT29" i="4"/>
  <c r="CB29" i="4"/>
  <c r="CG31" i="4"/>
  <c r="CD31" i="4"/>
  <c r="DS31" i="4"/>
  <c r="U29" i="4"/>
  <c r="FJ29" i="4"/>
  <c r="DM29" i="4"/>
  <c r="DH29" i="4"/>
  <c r="BT29" i="4"/>
  <c r="BQ29" i="4"/>
  <c r="IN29" i="4"/>
  <c r="AF29" i="4"/>
  <c r="HX29" i="4"/>
  <c r="FS29" i="4"/>
  <c r="X29" i="4"/>
  <c r="GG29" i="4"/>
  <c r="FY29" i="4"/>
  <c r="CG29" i="4"/>
  <c r="IT29" i="4"/>
  <c r="IC29" i="4"/>
  <c r="HD29" i="4"/>
  <c r="FX29" i="4"/>
  <c r="DL29" i="4"/>
  <c r="AZ29" i="4"/>
  <c r="IG29" i="4"/>
  <c r="FG29" i="4"/>
  <c r="CU29" i="4"/>
  <c r="AI29" i="4"/>
  <c r="HB29" i="4"/>
  <c r="EP29" i="4"/>
  <c r="CD29" i="4"/>
  <c r="R29" i="4"/>
  <c r="GC29" i="4"/>
  <c r="DQ29" i="4"/>
  <c r="BE29" i="4"/>
  <c r="HJ29" i="4"/>
  <c r="EV29" i="4"/>
  <c r="EU29" i="4"/>
  <c r="O29" i="4"/>
  <c r="BZ29" i="4"/>
  <c r="FK29" i="4"/>
  <c r="AC29" i="4"/>
  <c r="CY29" i="4"/>
  <c r="GW29" i="4"/>
  <c r="BB29" i="4"/>
  <c r="BD29" i="4"/>
  <c r="FB29" i="4"/>
  <c r="ED29" i="4"/>
  <c r="IL29" i="4"/>
  <c r="HU29" i="4"/>
  <c r="IY29" i="4"/>
  <c r="FP29" i="4"/>
  <c r="DD29" i="4"/>
  <c r="AR29" i="4"/>
  <c r="HQ29" i="4"/>
  <c r="EY29" i="4"/>
  <c r="CM29" i="4"/>
  <c r="AA29" i="4"/>
  <c r="GT29" i="4"/>
  <c r="EH29" i="4"/>
  <c r="BV29" i="4"/>
  <c r="J29" i="4"/>
  <c r="FU29" i="4"/>
  <c r="DI29" i="4"/>
  <c r="AW29" i="4"/>
  <c r="GZ29" i="4"/>
  <c r="EN29" i="4"/>
  <c r="EC29" i="4"/>
  <c r="HH29" i="4"/>
  <c r="BJ29" i="4"/>
  <c r="ES29" i="4"/>
  <c r="M29" i="4"/>
  <c r="CI29" i="4"/>
  <c r="FZ29" i="4"/>
  <c r="AL29" i="4"/>
  <c r="BA29" i="4"/>
  <c r="CW29" i="4"/>
  <c r="HS29" i="4"/>
  <c r="IV29" i="4"/>
  <c r="ID29" i="4"/>
  <c r="HM29" i="4"/>
  <c r="IH29" i="4"/>
  <c r="FH29" i="4"/>
  <c r="CV29" i="4"/>
  <c r="AJ29" i="4"/>
  <c r="HC29" i="4"/>
  <c r="EQ29" i="4"/>
  <c r="CE29" i="4"/>
  <c r="S29" i="4"/>
  <c r="GL29" i="4"/>
  <c r="DZ29" i="4"/>
  <c r="BN29" i="4"/>
  <c r="IQ29" i="4"/>
  <c r="FM29" i="4"/>
  <c r="DA29" i="4"/>
  <c r="AO29" i="4"/>
  <c r="GR29" i="4"/>
  <c r="EF29" i="4"/>
  <c r="DG29" i="4"/>
  <c r="GI29" i="4"/>
  <c r="AT29" i="4"/>
  <c r="DV29" i="4"/>
  <c r="II29" i="4"/>
  <c r="BS29" i="4"/>
  <c r="FC29" i="4"/>
  <c r="V29" i="4"/>
  <c r="CR29" i="4"/>
  <c r="FA29" i="4"/>
  <c r="IU29" i="4"/>
  <c r="HV29" i="4"/>
  <c r="IR29" i="4"/>
  <c r="HR29" i="4"/>
  <c r="EZ29" i="4"/>
  <c r="CN29" i="4"/>
  <c r="AB29" i="4"/>
  <c r="GU29" i="4"/>
  <c r="EI29" i="4"/>
  <c r="BW29" i="4"/>
  <c r="K29" i="4"/>
  <c r="GD29" i="4"/>
  <c r="DR29" i="4"/>
  <c r="BF29" i="4"/>
  <c r="IA29" i="4"/>
  <c r="FE29" i="4"/>
  <c r="CS29" i="4"/>
  <c r="AG29" i="4"/>
  <c r="GJ29" i="4"/>
  <c r="DX29" i="4"/>
  <c r="CQ29" i="4"/>
  <c r="FQ29" i="4"/>
  <c r="AD29" i="4"/>
  <c r="DE29" i="4"/>
  <c r="GX29" i="4"/>
  <c r="BC29" i="4"/>
  <c r="EK29" i="4"/>
  <c r="AV29" i="4"/>
  <c r="EM29" i="4"/>
  <c r="GY29" i="4"/>
  <c r="ER29" i="4"/>
  <c r="CZ11" i="4"/>
  <c r="FZ31" i="4"/>
  <c r="CI31" i="4"/>
  <c r="T31" i="4"/>
  <c r="CF31" i="4"/>
  <c r="HD31" i="4"/>
  <c r="IK31" i="4"/>
  <c r="DK31" i="4"/>
  <c r="AD31" i="4"/>
  <c r="FL31" i="4"/>
  <c r="BT31" i="4"/>
  <c r="IJ33" i="4"/>
  <c r="CE33" i="4"/>
  <c r="FC33" i="4"/>
  <c r="HA31" i="4"/>
  <c r="HY29" i="4"/>
  <c r="AS29" i="4"/>
  <c r="CP29" i="4"/>
  <c r="FR29" i="4"/>
  <c r="HZ29" i="4"/>
  <c r="DY29" i="4"/>
  <c r="Z29" i="4"/>
  <c r="EX29" i="4"/>
  <c r="AQ29" i="4"/>
  <c r="FO29" i="4"/>
  <c r="BH29" i="4"/>
  <c r="GF29" i="4"/>
  <c r="IK29" i="4"/>
  <c r="GB11" i="4"/>
  <c r="AG11" i="4"/>
  <c r="L11" i="4"/>
  <c r="FU11" i="4"/>
  <c r="J18" i="5"/>
  <c r="M18" i="3"/>
  <c r="L18" i="3" s="1"/>
  <c r="K18" i="5" s="1"/>
  <c r="K8" i="3"/>
  <c r="J8" i="5" s="1"/>
  <c r="AS24" i="4"/>
  <c r="CC24" i="4"/>
  <c r="GF24" i="4"/>
  <c r="DK24" i="4"/>
  <c r="AP24" i="4"/>
  <c r="HO24" i="4"/>
  <c r="ET24" i="4"/>
  <c r="BY24" i="4"/>
  <c r="IY24" i="4"/>
  <c r="GC24" i="4"/>
  <c r="DH24" i="4"/>
  <c r="AN24" i="4"/>
  <c r="HV24" i="4"/>
  <c r="FA24" i="4"/>
  <c r="CF24" i="4"/>
  <c r="O24" i="4"/>
  <c r="IU24" i="4"/>
  <c r="IV24" i="4"/>
  <c r="EY24" i="4"/>
  <c r="FG24" i="4"/>
  <c r="EP24" i="4"/>
  <c r="AD24" i="4"/>
  <c r="FI11" i="4"/>
  <c r="GR11" i="4"/>
  <c r="K11" i="4"/>
  <c r="CF11" i="4"/>
  <c r="FE11" i="4"/>
  <c r="K21" i="3"/>
  <c r="J21" i="5" s="1"/>
  <c r="J16" i="5"/>
  <c r="M16" i="3"/>
  <c r="L16" i="3" s="1"/>
  <c r="K16" i="5" s="1"/>
  <c r="R31" i="4"/>
  <c r="IY31" i="4"/>
  <c r="IO31" i="4"/>
  <c r="ID31" i="4"/>
  <c r="HS31" i="4"/>
  <c r="HI31" i="4"/>
  <c r="GX31" i="4"/>
  <c r="GM31" i="4"/>
  <c r="GC31" i="4"/>
  <c r="FR31" i="4"/>
  <c r="FG31" i="4"/>
  <c r="EW31" i="4"/>
  <c r="EL31" i="4"/>
  <c r="EA31" i="4"/>
  <c r="DQ31" i="4"/>
  <c r="DF31" i="4"/>
  <c r="CU31" i="4"/>
  <c r="CK31" i="4"/>
  <c r="BZ31" i="4"/>
  <c r="BO31" i="4"/>
  <c r="BE31" i="4"/>
  <c r="AT31" i="4"/>
  <c r="AI31" i="4"/>
  <c r="Y31" i="4"/>
  <c r="P31" i="4"/>
  <c r="IF31" i="4"/>
  <c r="GO31" i="4"/>
  <c r="EX31" i="4"/>
  <c r="DH31" i="4"/>
  <c r="BQ31" i="4"/>
  <c r="Z31" i="4"/>
  <c r="IC31" i="4"/>
  <c r="GL31" i="4"/>
  <c r="EV31" i="4"/>
  <c r="DE31" i="4"/>
  <c r="BN31" i="4"/>
  <c r="X31" i="4"/>
  <c r="HU31" i="4"/>
  <c r="GD31" i="4"/>
  <c r="EN31" i="4"/>
  <c r="CW31" i="4"/>
  <c r="BF31" i="4"/>
  <c r="Q31" i="4"/>
  <c r="HR31" i="4"/>
  <c r="GB31" i="4"/>
  <c r="EK31" i="4"/>
  <c r="CT31" i="4"/>
  <c r="BD31" i="4"/>
  <c r="O31" i="4"/>
  <c r="HJ31" i="4"/>
  <c r="FT31" i="4"/>
  <c r="EC31" i="4"/>
  <c r="CL31" i="4"/>
  <c r="AV31" i="4"/>
  <c r="IX31" i="4"/>
  <c r="FF31" i="4"/>
  <c r="AK31" i="4"/>
  <c r="IP31" i="4"/>
  <c r="DZ31" i="4"/>
  <c r="AH31" i="4"/>
  <c r="IN31" i="4"/>
  <c r="DR31" i="4"/>
  <c r="HH31" i="4"/>
  <c r="DP31" i="4"/>
  <c r="GZ31" i="4"/>
  <c r="CJ31" i="4"/>
  <c r="GW31" i="4"/>
  <c r="CB31" i="4"/>
  <c r="FQ31" i="4"/>
  <c r="FI31" i="4"/>
  <c r="BY31" i="4"/>
  <c r="AS31" i="4"/>
  <c r="IV31" i="4"/>
  <c r="AW31" i="4"/>
  <c r="ED31" i="4"/>
  <c r="HK31" i="4"/>
  <c r="AC31" i="4"/>
  <c r="DJ31" i="4"/>
  <c r="GR31" i="4"/>
  <c r="HC31" i="4"/>
  <c r="HV31" i="4"/>
  <c r="AA31" i="4"/>
  <c r="P29" i="4"/>
  <c r="GQ29" i="4"/>
  <c r="GA29" i="4"/>
  <c r="GB29" i="4"/>
  <c r="EA29" i="4"/>
  <c r="K14" i="3"/>
  <c r="J14" i="5" s="1"/>
  <c r="N31" i="4"/>
  <c r="HG31" i="4"/>
  <c r="ER31" i="4"/>
  <c r="GS31" i="4"/>
  <c r="FP33" i="4"/>
  <c r="IN33" i="4"/>
  <c r="FX33" i="4"/>
  <c r="IG33" i="4"/>
  <c r="AG33" i="4"/>
  <c r="FW33" i="4"/>
  <c r="BU33" i="4"/>
  <c r="HK33" i="4"/>
  <c r="CY33" i="4"/>
  <c r="IO33" i="4"/>
  <c r="EL33" i="4"/>
  <c r="AS33" i="4"/>
  <c r="DE33" i="4"/>
  <c r="IC33" i="4"/>
  <c r="IW31" i="4"/>
  <c r="CH31" i="4"/>
  <c r="CQ31" i="4"/>
  <c r="HO31" i="4"/>
  <c r="CN31" i="4"/>
  <c r="HL31" i="4"/>
  <c r="FB30" i="4"/>
  <c r="AD30" i="4"/>
  <c r="ES31" i="4"/>
  <c r="IK30" i="4"/>
  <c r="DM30" i="4"/>
  <c r="CL33" i="4"/>
  <c r="DA31" i="4"/>
  <c r="DL30" i="4"/>
  <c r="IS31" i="4"/>
  <c r="BI31" i="4"/>
  <c r="FG30" i="4"/>
  <c r="K30" i="4"/>
  <c r="Z33" i="4"/>
  <c r="CX33" i="4"/>
  <c r="GM33" i="4"/>
  <c r="CX31" i="4"/>
  <c r="FV30" i="4"/>
  <c r="AH30" i="4"/>
  <c r="F29" i="4"/>
  <c r="BI29" i="4"/>
  <c r="GO29" i="4"/>
  <c r="IP29" i="4"/>
  <c r="EG29" i="4"/>
  <c r="AH29" i="4"/>
  <c r="AY29" i="4"/>
  <c r="FW29" i="4"/>
  <c r="BP29" i="4"/>
  <c r="GN29" i="4"/>
  <c r="IS29" i="4"/>
  <c r="P33" i="4"/>
  <c r="GL34" i="4"/>
  <c r="EA34" i="4"/>
  <c r="DK33" i="4"/>
  <c r="EY33" i="4"/>
  <c r="BZ33" i="4"/>
  <c r="FY33" i="4"/>
  <c r="IL31" i="4"/>
  <c r="FE31" i="4"/>
  <c r="BW31" i="4"/>
  <c r="AM31" i="4"/>
  <c r="CY31" i="4"/>
  <c r="FK31" i="4"/>
  <c r="HW31" i="4"/>
  <c r="AJ31" i="4"/>
  <c r="CV31" i="4"/>
  <c r="FH31" i="4"/>
  <c r="HT31" i="4"/>
  <c r="HF30" i="4"/>
  <c r="ET30" i="4"/>
  <c r="CH30" i="4"/>
  <c r="V30" i="4"/>
  <c r="HP31" i="4"/>
  <c r="EH31" i="4"/>
  <c r="BA31" i="4"/>
  <c r="IC30" i="4"/>
  <c r="FQ30" i="4"/>
  <c r="DE30" i="4"/>
  <c r="AS30" i="4"/>
  <c r="Q33" i="4"/>
  <c r="FW31" i="4"/>
  <c r="CP31" i="4"/>
  <c r="K31" i="4"/>
  <c r="FX30" i="4"/>
  <c r="DD30" i="4"/>
  <c r="AJ30" i="4"/>
  <c r="IH31" i="4"/>
  <c r="EP31" i="4"/>
  <c r="AX31" i="4"/>
  <c r="HS30" i="4"/>
  <c r="EQ30" i="4"/>
  <c r="BW30" i="4"/>
  <c r="IV30" i="4"/>
  <c r="HY30" i="4"/>
  <c r="HG30" i="4"/>
  <c r="GJ30" i="4"/>
  <c r="FM30" i="4"/>
  <c r="EU30" i="4"/>
  <c r="DX30" i="4"/>
  <c r="DA30" i="4"/>
  <c r="CI30" i="4"/>
  <c r="BL30" i="4"/>
  <c r="AO30" i="4"/>
  <c r="W30" i="4"/>
  <c r="IU30" i="4"/>
  <c r="HX30" i="4"/>
  <c r="HA30" i="4"/>
  <c r="GI30" i="4"/>
  <c r="FL30" i="4"/>
  <c r="EO30" i="4"/>
  <c r="DW30" i="4"/>
  <c r="CZ30" i="4"/>
  <c r="CC30" i="4"/>
  <c r="BK30" i="4"/>
  <c r="AN30" i="4"/>
  <c r="Q30" i="4"/>
  <c r="IO30" i="4"/>
  <c r="HW30" i="4"/>
  <c r="GZ30" i="4"/>
  <c r="GC30" i="4"/>
  <c r="FK30" i="4"/>
  <c r="EN30" i="4"/>
  <c r="DQ30" i="4"/>
  <c r="CY30" i="4"/>
  <c r="CB30" i="4"/>
  <c r="BE30" i="4"/>
  <c r="AM30" i="4"/>
  <c r="P30" i="4"/>
  <c r="IN30" i="4"/>
  <c r="HQ30" i="4"/>
  <c r="GY30" i="4"/>
  <c r="GB30" i="4"/>
  <c r="FE30" i="4"/>
  <c r="EM30" i="4"/>
  <c r="DP30" i="4"/>
  <c r="CS30" i="4"/>
  <c r="CA30" i="4"/>
  <c r="BD30" i="4"/>
  <c r="AG30" i="4"/>
  <c r="O30" i="4"/>
  <c r="IM30" i="4"/>
  <c r="HP30" i="4"/>
  <c r="GS30" i="4"/>
  <c r="GA30" i="4"/>
  <c r="FD30" i="4"/>
  <c r="EG30" i="4"/>
  <c r="DO30" i="4"/>
  <c r="CR30" i="4"/>
  <c r="BU30" i="4"/>
  <c r="BC30" i="4"/>
  <c r="AF30" i="4"/>
  <c r="IE30" i="4"/>
  <c r="FT30" i="4"/>
  <c r="DI30" i="4"/>
  <c r="BM30" i="4"/>
  <c r="HO30" i="4"/>
  <c r="FS30" i="4"/>
  <c r="DH30" i="4"/>
  <c r="AW30" i="4"/>
  <c r="HI30" i="4"/>
  <c r="FC30" i="4"/>
  <c r="DG30" i="4"/>
  <c r="AV30" i="4"/>
  <c r="GR30" i="4"/>
  <c r="EV30" i="4"/>
  <c r="CK30" i="4"/>
  <c r="AE30" i="4"/>
  <c r="IW30" i="4"/>
  <c r="GQ30" i="4"/>
  <c r="EF30" i="4"/>
  <c r="CJ30" i="4"/>
  <c r="Y30" i="4"/>
  <c r="IF30" i="4"/>
  <c r="BT30" i="4"/>
  <c r="HH30" i="4"/>
  <c r="BS30" i="4"/>
  <c r="GK30" i="4"/>
  <c r="AU30" i="4"/>
  <c r="FU30" i="4"/>
  <c r="X30" i="4"/>
  <c r="EW30" i="4"/>
  <c r="EE30" i="4"/>
  <c r="IG30" i="4"/>
  <c r="DY30" i="4"/>
  <c r="CQ30" i="4"/>
  <c r="Z30" i="4"/>
  <c r="CL30" i="4"/>
  <c r="EX30" i="4"/>
  <c r="HJ30" i="4"/>
  <c r="AA30" i="4"/>
  <c r="CM30" i="4"/>
  <c r="EY30" i="4"/>
  <c r="HK30" i="4"/>
  <c r="BH30" i="4"/>
  <c r="DT30" i="4"/>
  <c r="GF30" i="4"/>
  <c r="IR30" i="4"/>
  <c r="DL33" i="4"/>
  <c r="AR33" i="4"/>
  <c r="HA33" i="4"/>
  <c r="DP33" i="4"/>
  <c r="AW33" i="4"/>
  <c r="HF33" i="4"/>
  <c r="GE31" i="4"/>
  <c r="CM31" i="4"/>
  <c r="IH30" i="4"/>
  <c r="FN30" i="4"/>
  <c r="CT30" i="4"/>
  <c r="R30" i="4"/>
  <c r="EE29" i="4"/>
  <c r="W29" i="4"/>
  <c r="BY29" i="4"/>
  <c r="DW29" i="4"/>
  <c r="HI29" i="4"/>
  <c r="Q29" i="4"/>
  <c r="EO29" i="4"/>
  <c r="AP29" i="4"/>
  <c r="FN29" i="4"/>
  <c r="BG29" i="4"/>
  <c r="GE29" i="4"/>
  <c r="BX29" i="4"/>
  <c r="GV29" i="4"/>
  <c r="HF29" i="4"/>
  <c r="IM24" i="4"/>
  <c r="EC11" i="4"/>
  <c r="R11" i="4"/>
  <c r="S11" i="4"/>
  <c r="IW20" i="4"/>
  <c r="FU20" i="4"/>
  <c r="DA20" i="4"/>
  <c r="AG20" i="4"/>
  <c r="GZ20" i="4"/>
  <c r="EF20" i="4"/>
  <c r="BL20" i="4"/>
  <c r="IM20" i="4"/>
  <c r="FK20" i="4"/>
  <c r="CQ20" i="4"/>
  <c r="AK20" i="4"/>
  <c r="HU20" i="4"/>
  <c r="L20" i="4"/>
  <c r="FQ20" i="4"/>
  <c r="EZ20" i="4"/>
  <c r="IA20" i="4"/>
  <c r="FG20" i="4"/>
  <c r="CM20" i="4"/>
  <c r="S20" i="4"/>
  <c r="HB20" i="4"/>
  <c r="EH20" i="4"/>
  <c r="BN20" i="4"/>
  <c r="IG20" i="4"/>
  <c r="FM20" i="4"/>
  <c r="CS20" i="4"/>
  <c r="Y20" i="4"/>
  <c r="GR20" i="4"/>
  <c r="DX20" i="4"/>
  <c r="BD20" i="4"/>
  <c r="HW20" i="4"/>
  <c r="FC20" i="4"/>
  <c r="CI20" i="4"/>
  <c r="BH20" i="4"/>
  <c r="IR20" i="4"/>
  <c r="AB20" i="4"/>
  <c r="GN20" i="4"/>
  <c r="M20" i="4"/>
  <c r="FR20" i="4"/>
  <c r="HS20" i="4"/>
  <c r="EY20" i="4"/>
  <c r="CE20" i="4"/>
  <c r="K20" i="4"/>
  <c r="GT20" i="4"/>
  <c r="DZ20" i="4"/>
  <c r="AX20" i="4"/>
  <c r="HY20" i="4"/>
  <c r="FE20" i="4"/>
  <c r="CK20" i="4"/>
  <c r="Q20" i="4"/>
  <c r="GJ20" i="4"/>
  <c r="DP20" i="4"/>
  <c r="AN20" i="4"/>
  <c r="HO20" i="4"/>
  <c r="EU20" i="4"/>
  <c r="CA20" i="4"/>
  <c r="BZ20" i="4"/>
  <c r="AS20" i="4"/>
  <c r="HF20" i="4"/>
  <c r="AC20" i="4"/>
  <c r="GO20" i="4"/>
  <c r="GL20" i="4"/>
  <c r="DJ20" i="4"/>
  <c r="AP20" i="4"/>
  <c r="HQ20" i="4"/>
  <c r="EW20" i="4"/>
  <c r="CC20" i="4"/>
  <c r="IV20" i="4"/>
  <c r="GB20" i="4"/>
  <c r="CZ20" i="4"/>
  <c r="AF20" i="4"/>
  <c r="HG20" i="4"/>
  <c r="EM20" i="4"/>
  <c r="BS20" i="4"/>
  <c r="CW20" i="4"/>
  <c r="BP20" i="4"/>
  <c r="IC20" i="4"/>
  <c r="AT20" i="4"/>
  <c r="HL20" i="4"/>
  <c r="HC20" i="4"/>
  <c r="EI20" i="4"/>
  <c r="BO20" i="4"/>
  <c r="IX20" i="4"/>
  <c r="FV20" i="4"/>
  <c r="DB20" i="4"/>
  <c r="AH20" i="4"/>
  <c r="HI20" i="4"/>
  <c r="EO20" i="4"/>
  <c r="BU20" i="4"/>
  <c r="IN20" i="4"/>
  <c r="FL20" i="4"/>
  <c r="CR20" i="4"/>
  <c r="X20" i="4"/>
  <c r="GY20" i="4"/>
  <c r="EE20" i="4"/>
  <c r="BK20" i="4"/>
  <c r="DT20" i="4"/>
  <c r="CH20" i="4"/>
  <c r="BQ20" i="4"/>
  <c r="ID20" i="4"/>
  <c r="K6" i="3"/>
  <c r="J6" i="5" s="1"/>
  <c r="GN9" i="4"/>
  <c r="IB9" i="4"/>
  <c r="M31" i="3"/>
  <c r="L31" i="3" s="1"/>
  <c r="K31" i="5" s="1"/>
  <c r="K31" i="3"/>
  <c r="J31" i="5" s="1"/>
  <c r="K33" i="3"/>
  <c r="J33" i="5" s="1"/>
  <c r="FN31" i="4"/>
  <c r="DV31" i="4"/>
  <c r="AO31" i="4"/>
  <c r="FV31" i="4"/>
  <c r="DN29" i="4"/>
  <c r="N29" i="4"/>
  <c r="CA29" i="4"/>
  <c r="CK29" i="4"/>
  <c r="HK29" i="4"/>
  <c r="DJ29" i="4"/>
  <c r="T29" i="4"/>
  <c r="IJ29" i="4"/>
  <c r="IM29" i="4"/>
  <c r="AN29" i="4"/>
  <c r="FN11" i="4"/>
  <c r="CL11" i="4"/>
  <c r="J11" i="4"/>
  <c r="FL11" i="4"/>
  <c r="CJ11" i="4"/>
  <c r="GO11" i="4"/>
  <c r="CS31" i="4"/>
  <c r="EU31" i="4"/>
  <c r="FD31" i="4"/>
  <c r="BV31" i="4"/>
  <c r="CB33" i="4"/>
  <c r="AH33" i="4"/>
  <c r="CQ33" i="4"/>
  <c r="DB33" i="4"/>
  <c r="IR33" i="4"/>
  <c r="EP33" i="4"/>
  <c r="AD33" i="4"/>
  <c r="FT33" i="4"/>
  <c r="BP33" i="4"/>
  <c r="HG33" i="4"/>
  <c r="FQ33" i="4"/>
  <c r="FO31" i="4"/>
  <c r="AE31" i="4"/>
  <c r="FC31" i="4"/>
  <c r="AB31" i="4"/>
  <c r="EZ31" i="4"/>
  <c r="HN30" i="4"/>
  <c r="CP30" i="4"/>
  <c r="HZ31" i="4"/>
  <c r="BL31" i="4"/>
  <c r="FY30" i="4"/>
  <c r="BA30" i="4"/>
  <c r="GH31" i="4"/>
  <c r="U31" i="4"/>
  <c r="GN30" i="4"/>
  <c r="AR30" i="4"/>
  <c r="FA31" i="4"/>
  <c r="IA30" i="4"/>
  <c r="CE30" i="4"/>
  <c r="CT33" i="4"/>
  <c r="GI33" i="4"/>
  <c r="M33" i="4"/>
  <c r="GP31" i="4"/>
  <c r="IP30" i="4"/>
  <c r="GP29" i="4"/>
  <c r="DF29" i="4"/>
  <c r="FF29" i="4"/>
  <c r="FF33" i="4"/>
  <c r="GR34" i="4"/>
  <c r="DW34" i="4"/>
  <c r="BB34" i="4"/>
  <c r="GP34" i="4"/>
  <c r="DU34" i="4"/>
  <c r="AZ34" i="4"/>
  <c r="IU34" i="4"/>
  <c r="FZ34" i="4"/>
  <c r="DE34" i="4"/>
  <c r="AJ34" i="4"/>
  <c r="IS34" i="4"/>
  <c r="FX34" i="4"/>
  <c r="DB34" i="4"/>
  <c r="AG34" i="4"/>
  <c r="IC34" i="4"/>
  <c r="FH34" i="4"/>
  <c r="CL34" i="4"/>
  <c r="Q34" i="4"/>
  <c r="HJ34" i="4"/>
  <c r="EO34" i="4"/>
  <c r="BT34" i="4"/>
  <c r="HZ34" i="4"/>
  <c r="HH34" i="4"/>
  <c r="FE34" i="4"/>
  <c r="EM34" i="4"/>
  <c r="CJ34" i="4"/>
  <c r="BR34" i="4"/>
  <c r="O34" i="4"/>
  <c r="BO34" i="4"/>
  <c r="GM34" i="4"/>
  <c r="IY34" i="4"/>
  <c r="HO33" i="4"/>
  <c r="BX33" i="4"/>
  <c r="AP33" i="4"/>
  <c r="GF33" i="4"/>
  <c r="J33" i="4"/>
  <c r="CD33" i="4"/>
  <c r="HT33" i="4"/>
  <c r="AM33" i="4"/>
  <c r="DH33" i="4"/>
  <c r="GC33" i="4"/>
  <c r="IX33" i="4"/>
  <c r="EU33" i="4"/>
  <c r="HP33" i="4"/>
  <c r="BA33" i="4"/>
  <c r="DM33" i="4"/>
  <c r="IK33" i="4"/>
  <c r="FV34" i="4"/>
  <c r="AF34" i="4"/>
  <c r="EN33" i="4"/>
  <c r="EH34" i="4"/>
  <c r="IL34" i="4"/>
  <c r="CV34" i="4"/>
  <c r="GY34" i="4"/>
  <c r="BI34" i="4"/>
  <c r="EU34" i="4"/>
  <c r="BY34" i="4"/>
  <c r="ET34" i="4"/>
  <c r="HO34" i="4"/>
  <c r="AR34" i="4"/>
  <c r="DM34" i="4"/>
  <c r="GH34" i="4"/>
  <c r="R34" i="4"/>
  <c r="CN34" i="4"/>
  <c r="FI34" i="4"/>
  <c r="ID34" i="4"/>
  <c r="BE34" i="4"/>
  <c r="DZ34" i="4"/>
  <c r="GV34" i="4"/>
  <c r="K34" i="4"/>
  <c r="BW34" i="4"/>
  <c r="EI34" i="4"/>
  <c r="GU34" i="4"/>
  <c r="IE34" i="4"/>
  <c r="CO34" i="4"/>
  <c r="GV33" i="4"/>
  <c r="BF33" i="4"/>
  <c r="AY33" i="4"/>
  <c r="DT33" i="4"/>
  <c r="GP33" i="4"/>
  <c r="R33" i="4"/>
  <c r="CM33" i="4"/>
  <c r="FH33" i="4"/>
  <c r="ID33" i="4"/>
  <c r="AV33" i="4"/>
  <c r="DQ33" i="4"/>
  <c r="GL33" i="4"/>
  <c r="N33" i="4"/>
  <c r="CI33" i="4"/>
  <c r="FD33" i="4"/>
  <c r="HY33" i="4"/>
  <c r="BI33" i="4"/>
  <c r="DU33" i="4"/>
  <c r="GG33" i="4"/>
  <c r="IS33" i="4"/>
  <c r="IA31" i="4"/>
  <c r="ET31" i="4"/>
  <c r="BM31" i="4"/>
  <c r="AU31" i="4"/>
  <c r="DG31" i="4"/>
  <c r="FS31" i="4"/>
  <c r="IE31" i="4"/>
  <c r="AR31" i="4"/>
  <c r="DD31" i="4"/>
  <c r="FP31" i="4"/>
  <c r="IB31" i="4"/>
  <c r="GX30" i="4"/>
  <c r="EL30" i="4"/>
  <c r="BZ30" i="4"/>
  <c r="N30" i="4"/>
  <c r="HE31" i="4"/>
  <c r="DX31" i="4"/>
  <c r="AP31" i="4"/>
  <c r="HU30" i="4"/>
  <c r="FI30" i="4"/>
  <c r="CW30" i="4"/>
  <c r="AK30" i="4"/>
  <c r="IT31" i="4"/>
  <c r="FM31" i="4"/>
  <c r="CE31" i="4"/>
  <c r="IJ30" i="4"/>
  <c r="FP30" i="4"/>
  <c r="CV30" i="4"/>
  <c r="AB30" i="4"/>
  <c r="HX31" i="4"/>
  <c r="EF31" i="4"/>
  <c r="AN31" i="4"/>
  <c r="HC30" i="4"/>
  <c r="EI30" i="4"/>
  <c r="BO30" i="4"/>
  <c r="HJ33" i="4"/>
  <c r="EE33" i="4"/>
  <c r="BK33" i="4"/>
  <c r="HS33" i="4"/>
  <c r="EZ33" i="4"/>
  <c r="BO33" i="4"/>
  <c r="HX33" i="4"/>
  <c r="FU31" i="4"/>
  <c r="CC31" i="4"/>
  <c r="HZ30" i="4"/>
  <c r="FF30" i="4"/>
  <c r="CD30" i="4"/>
  <c r="J30" i="4"/>
  <c r="CJ29" i="4"/>
  <c r="AM29" i="4"/>
  <c r="CO29" i="4"/>
  <c r="ET29" i="4"/>
  <c r="DP29" i="4"/>
  <c r="Y29" i="4"/>
  <c r="EW29" i="4"/>
  <c r="AX29" i="4"/>
  <c r="FV29" i="4"/>
  <c r="BO29" i="4"/>
  <c r="GM29" i="4"/>
  <c r="CF29" i="4"/>
  <c r="HE29" i="4"/>
  <c r="HN29" i="4"/>
  <c r="HD24" i="4"/>
  <c r="CY24" i="4"/>
  <c r="BG24" i="4"/>
  <c r="R24" i="4"/>
  <c r="FW24" i="4"/>
  <c r="DL24" i="4"/>
  <c r="T24" i="4"/>
  <c r="HS24" i="4"/>
  <c r="GT24" i="4"/>
  <c r="IS18" i="4"/>
  <c r="IH18" i="4"/>
  <c r="HX18" i="4"/>
  <c r="HM18" i="4"/>
  <c r="HB18" i="4"/>
  <c r="GR18" i="4"/>
  <c r="GG18" i="4"/>
  <c r="FV18" i="4"/>
  <c r="FM18" i="4"/>
  <c r="FD18" i="4"/>
  <c r="HR18" i="4"/>
  <c r="GB18" i="4"/>
  <c r="EQ18" i="4"/>
  <c r="DS18" i="4"/>
  <c r="CV18" i="4"/>
  <c r="BV18" i="4"/>
  <c r="AX18" i="4"/>
  <c r="AA18" i="4"/>
  <c r="IY18" i="4"/>
  <c r="HI18" i="4"/>
  <c r="FR18" i="4"/>
  <c r="EP18" i="4"/>
  <c r="DP18" i="4"/>
  <c r="CR18" i="4"/>
  <c r="BU18" i="4"/>
  <c r="AT18" i="4"/>
  <c r="V18" i="4"/>
  <c r="IX18" i="4"/>
  <c r="HH18" i="4"/>
  <c r="FQ18" i="4"/>
  <c r="EK18" i="4"/>
  <c r="DN18" i="4"/>
  <c r="CN18" i="4"/>
  <c r="BP18" i="4"/>
  <c r="AS18" i="4"/>
  <c r="S18" i="4"/>
  <c r="IO18" i="4"/>
  <c r="GX18" i="4"/>
  <c r="FI18" i="4"/>
  <c r="EH18" i="4"/>
  <c r="DJ18" i="4"/>
  <c r="CM18" i="4"/>
  <c r="BM18" i="4"/>
  <c r="AO18" i="4"/>
  <c r="R18" i="4"/>
  <c r="IN18" i="4"/>
  <c r="GW18" i="4"/>
  <c r="FH18" i="4"/>
  <c r="EG18" i="4"/>
  <c r="DF18" i="4"/>
  <c r="CH18" i="4"/>
  <c r="BL18" i="4"/>
  <c r="AK18" i="4"/>
  <c r="M18" i="4"/>
  <c r="GC18" i="4"/>
  <c r="DA18" i="4"/>
  <c r="AJ18" i="4"/>
  <c r="EZ18" i="4"/>
  <c r="CW18" i="4"/>
  <c r="AF18" i="4"/>
  <c r="EY18" i="4"/>
  <c r="CE18" i="4"/>
  <c r="AB18" i="4"/>
  <c r="ID18" i="4"/>
  <c r="ET18" i="4"/>
  <c r="CD18" i="4"/>
  <c r="J18" i="4"/>
  <c r="IC18" i="4"/>
  <c r="EB18" i="4"/>
  <c r="BY18" i="4"/>
  <c r="DY18" i="4"/>
  <c r="DX18" i="4"/>
  <c r="DE18" i="4"/>
  <c r="BG18" i="4"/>
  <c r="GM18" i="4"/>
  <c r="HS18" i="4"/>
  <c r="GL18" i="4"/>
  <c r="BD18" i="4"/>
  <c r="BB18" i="4"/>
  <c r="IQ18" i="4"/>
  <c r="BW18" i="4"/>
  <c r="ER18" i="4"/>
  <c r="HU18" i="4"/>
  <c r="L18" i="4"/>
  <c r="CG18" i="4"/>
  <c r="FB18" i="4"/>
  <c r="IG18" i="4"/>
  <c r="HW18" i="4"/>
  <c r="FK18" i="4"/>
  <c r="CY18" i="4"/>
  <c r="AM18" i="4"/>
  <c r="HT18" i="4"/>
  <c r="X18" i="4"/>
  <c r="AV18" i="4"/>
  <c r="DZ18" i="4"/>
  <c r="HJ18" i="4"/>
  <c r="AD18" i="4"/>
  <c r="DI18" i="4"/>
  <c r="GP18" i="4"/>
  <c r="GI18" i="4"/>
  <c r="DO18" i="4"/>
  <c r="AU18" i="4"/>
  <c r="HL18" i="4"/>
  <c r="AP18" i="4"/>
  <c r="DK18" i="4"/>
  <c r="GH18" i="4"/>
  <c r="CB18" i="4"/>
  <c r="EW18" i="4"/>
  <c r="HZ18" i="4"/>
  <c r="BT18" i="4"/>
  <c r="EO18" i="4"/>
  <c r="HQ18" i="4"/>
  <c r="BE18" i="4"/>
  <c r="EI18" i="4"/>
  <c r="IF18" i="4"/>
  <c r="AN18" i="4"/>
  <c r="DR18" i="4"/>
  <c r="HA18" i="4"/>
  <c r="IU18" i="4"/>
  <c r="GA18" i="4"/>
  <c r="DG18" i="4"/>
  <c r="AE18" i="4"/>
  <c r="HD18" i="4"/>
  <c r="AY18" i="4"/>
  <c r="DT18" i="4"/>
  <c r="GS18" i="4"/>
  <c r="P18" i="4"/>
  <c r="CK18" i="4"/>
  <c r="FF18" i="4"/>
  <c r="IK18" i="4"/>
  <c r="CC18" i="4"/>
  <c r="EX18" i="4"/>
  <c r="IA18" i="4"/>
  <c r="BN18" i="4"/>
  <c r="FA18" i="4"/>
  <c r="IP18" i="4"/>
  <c r="AW18" i="4"/>
  <c r="EA18" i="4"/>
  <c r="HK18" i="4"/>
  <c r="IM18" i="4"/>
  <c r="FS18" i="4"/>
  <c r="CQ18" i="4"/>
  <c r="W18" i="4"/>
  <c r="GV18" i="4"/>
  <c r="BH18" i="4"/>
  <c r="EC18" i="4"/>
  <c r="HC18" i="4"/>
  <c r="Y18" i="4"/>
  <c r="CT18" i="4"/>
  <c r="FO18" i="4"/>
  <c r="IV18" i="4"/>
  <c r="Q18" i="4"/>
  <c r="CL18" i="4"/>
  <c r="FG18" i="4"/>
  <c r="IL18" i="4"/>
  <c r="CF18" i="4"/>
  <c r="FJ18" i="4"/>
  <c r="BF18" i="4"/>
  <c r="EJ18" i="4"/>
  <c r="HV18" i="4"/>
  <c r="IE18" i="4"/>
  <c r="FC18" i="4"/>
  <c r="CI18" i="4"/>
  <c r="O18" i="4"/>
  <c r="GN18" i="4"/>
  <c r="BQ18" i="4"/>
  <c r="EL18" i="4"/>
  <c r="HN18" i="4"/>
  <c r="AH18" i="4"/>
  <c r="DC18" i="4"/>
  <c r="FY18" i="4"/>
  <c r="Z18" i="4"/>
  <c r="CU18" i="4"/>
  <c r="FP18" i="4"/>
  <c r="IW18" i="4"/>
  <c r="K18" i="4"/>
  <c r="CO18" i="4"/>
  <c r="FT18" i="4"/>
  <c r="BO18" i="4"/>
  <c r="ES18" i="4"/>
  <c r="HO18" i="4"/>
  <c r="EU18" i="4"/>
  <c r="CA18" i="4"/>
  <c r="F18" i="4"/>
  <c r="GF18" i="4"/>
  <c r="BZ18" i="4"/>
  <c r="EV18" i="4"/>
  <c r="HY18" i="4"/>
  <c r="AQ18" i="4"/>
  <c r="DL18" i="4"/>
  <c r="GJ18" i="4"/>
  <c r="AI18" i="4"/>
  <c r="DD18" i="4"/>
  <c r="FZ18" i="4"/>
  <c r="CX18" i="4"/>
  <c r="Z11" i="4"/>
  <c r="CM11" i="4"/>
  <c r="FP11" i="4"/>
  <c r="HZ9" i="4"/>
  <c r="CO9" i="4"/>
  <c r="FJ9" i="4"/>
  <c r="N9" i="4"/>
  <c r="CH9" i="4"/>
  <c r="FC9" i="4"/>
  <c r="L9" i="4"/>
  <c r="CF9" i="4"/>
  <c r="HX9" i="4"/>
  <c r="FL9" i="4"/>
  <c r="CZ9" i="4"/>
  <c r="AN9" i="4"/>
  <c r="HW9" i="4"/>
  <c r="GX9" i="4"/>
  <c r="GW9" i="4"/>
  <c r="DY9" i="4"/>
  <c r="BC9" i="4"/>
  <c r="HS9" i="4"/>
  <c r="EP9" i="4"/>
  <c r="BU9" i="4"/>
  <c r="IC9" i="4"/>
  <c r="EX9" i="4"/>
  <c r="CC9" i="4"/>
  <c r="FO9" i="4"/>
  <c r="CT9" i="4"/>
  <c r="Y9" i="4"/>
  <c r="GE9" i="4"/>
  <c r="EA9" i="4"/>
  <c r="IY9" i="4"/>
  <c r="BW9" i="4"/>
  <c r="EL9" i="4"/>
  <c r="IO9" i="4"/>
  <c r="BP9" i="4"/>
  <c r="EJ9" i="4"/>
  <c r="II9" i="4"/>
  <c r="BN9" i="4"/>
  <c r="DJ9" i="4"/>
  <c r="BY9" i="4"/>
  <c r="IN9" i="4"/>
  <c r="DP9" i="4"/>
  <c r="IM9" i="4"/>
  <c r="HT9" i="4"/>
  <c r="BV9" i="4"/>
  <c r="FH9" i="4"/>
  <c r="R9" i="4"/>
  <c r="CU9" i="4"/>
  <c r="GI9" i="4"/>
  <c r="AQ9" i="4"/>
  <c r="FN9" i="4"/>
  <c r="FM9" i="4"/>
  <c r="CI9" i="4"/>
  <c r="M9" i="4"/>
  <c r="FA9" i="4"/>
  <c r="GS9" i="4"/>
  <c r="HP9" i="4"/>
  <c r="CR9" i="4"/>
  <c r="HO9" i="4"/>
  <c r="GM9" i="4"/>
  <c r="AT9" i="4"/>
  <c r="EG9" i="4"/>
  <c r="HR9" i="4"/>
  <c r="BS9" i="4"/>
  <c r="FF9" i="4"/>
  <c r="O9" i="4"/>
  <c r="DI9" i="4"/>
  <c r="DG9" i="4"/>
  <c r="AG9" i="4"/>
  <c r="GD9" i="4"/>
  <c r="CX9" i="4"/>
  <c r="HH9" i="4"/>
  <c r="CJ9" i="4"/>
  <c r="IT9" i="4"/>
  <c r="GC9" i="4"/>
  <c r="AK9" i="4"/>
  <c r="DW9" i="4"/>
  <c r="HE9" i="4"/>
  <c r="BJ9" i="4"/>
  <c r="EW9" i="4"/>
  <c r="IX9" i="4"/>
  <c r="CP9" i="4"/>
  <c r="BE9" i="4"/>
  <c r="HJ9" i="4"/>
  <c r="DR9" i="4"/>
  <c r="AU9" i="4"/>
  <c r="GZ9" i="4"/>
  <c r="CB9" i="4"/>
  <c r="IL9" i="4"/>
  <c r="FR9" i="4"/>
  <c r="AB9" i="4"/>
  <c r="DN9" i="4"/>
  <c r="GU9" i="4"/>
  <c r="BA9" i="4"/>
  <c r="EM9" i="4"/>
  <c r="IJ9" i="4"/>
  <c r="BX9" i="4"/>
  <c r="AL9" i="4"/>
  <c r="GF9" i="4"/>
  <c r="CY9" i="4"/>
  <c r="AC9" i="4"/>
  <c r="GB9" i="4"/>
  <c r="BD9" i="4"/>
  <c r="HN9" i="4"/>
  <c r="EQ9" i="4"/>
  <c r="IR9" i="4"/>
  <c r="CM9" i="4"/>
  <c r="FP9" i="4"/>
  <c r="Z9" i="4"/>
  <c r="DL9" i="4"/>
  <c r="HA9" i="4"/>
  <c r="U9" i="4"/>
  <c r="T9" i="4"/>
  <c r="FE9" i="4"/>
  <c r="CG9" i="4"/>
  <c r="K9" i="4"/>
  <c r="BH9" i="4"/>
  <c r="FD9" i="4"/>
  <c r="AF9" i="4"/>
  <c r="GP9" i="4"/>
  <c r="DO9" i="4"/>
  <c r="HG9" i="4"/>
  <c r="BK9" i="4"/>
  <c r="EO9" i="4"/>
  <c r="IP9" i="4"/>
  <c r="CK9" i="4"/>
  <c r="FU9" i="4"/>
  <c r="GG9" i="4"/>
  <c r="DA9" i="4"/>
  <c r="AD9" i="4"/>
  <c r="V9" i="4"/>
  <c r="IT30" i="4"/>
  <c r="BR29" i="4"/>
  <c r="DO29" i="4"/>
  <c r="GH29" i="4"/>
  <c r="AE29" i="4"/>
  <c r="FD29" i="4"/>
  <c r="BM29" i="4"/>
  <c r="GK29" i="4"/>
  <c r="CL29" i="4"/>
  <c r="HP29" i="4"/>
  <c r="DC29" i="4"/>
  <c r="IX29" i="4"/>
  <c r="DT29" i="4"/>
  <c r="HL29" i="4"/>
  <c r="HO29" i="4"/>
  <c r="DU29" i="4"/>
  <c r="BP24" i="4"/>
  <c r="Z24" i="4"/>
  <c r="HY24" i="4"/>
  <c r="DU24" i="4"/>
  <c r="BS24" i="4"/>
  <c r="IB24" i="4"/>
  <c r="HB24" i="4"/>
  <c r="P11" i="4"/>
  <c r="CT11" i="4"/>
  <c r="CU11" i="4"/>
  <c r="GF11" i="4"/>
  <c r="F31" i="4"/>
  <c r="BY15" i="4"/>
  <c r="GD15" i="4"/>
  <c r="DB15" i="4"/>
  <c r="R15" i="4"/>
  <c r="GC15" i="4"/>
  <c r="HN15" i="4"/>
  <c r="HF15" i="4"/>
  <c r="DN15" i="4"/>
  <c r="EC15" i="4"/>
  <c r="AM15" i="4"/>
  <c r="FL15" i="4"/>
  <c r="BM15" i="4"/>
  <c r="HK15" i="4"/>
  <c r="CE15" i="4"/>
  <c r="HT15" i="4"/>
  <c r="DD15" i="4"/>
  <c r="W15" i="4"/>
  <c r="IC15" i="4"/>
  <c r="GF15" i="4"/>
  <c r="GI15" i="4"/>
  <c r="AE15" i="4"/>
  <c r="HO15" i="4"/>
  <c r="EE15" i="4"/>
  <c r="IP15" i="4"/>
  <c r="FN15" i="4"/>
  <c r="CD15" i="4"/>
  <c r="IO15" i="4"/>
  <c r="FM15" i="4"/>
  <c r="GP15" i="4"/>
  <c r="IM15" i="4"/>
  <c r="DS15" i="4"/>
  <c r="U15" i="4"/>
  <c r="EZ15" i="4"/>
  <c r="BD15" i="4"/>
  <c r="GJ15" i="4"/>
  <c r="BU15" i="4"/>
  <c r="HG15" i="4"/>
  <c r="CK15" i="4"/>
  <c r="AO15" i="4"/>
  <c r="X15" i="4"/>
  <c r="HE15" i="4"/>
  <c r="AA15" i="4"/>
  <c r="HH15" i="4"/>
  <c r="AW15" i="4"/>
  <c r="IN15" i="4"/>
  <c r="EM15" i="4"/>
  <c r="AU15" i="4"/>
  <c r="FK15" i="4"/>
  <c r="BL15" i="4"/>
  <c r="GU15" i="4"/>
  <c r="BS15" i="4"/>
  <c r="BH15" i="4"/>
  <c r="AQ15" i="4"/>
  <c r="IE15" i="4"/>
  <c r="AS15" i="4"/>
  <c r="II15" i="4"/>
  <c r="BP15" i="4"/>
  <c r="HZ15" i="4"/>
  <c r="EP15" i="4"/>
  <c r="BF15" i="4"/>
  <c r="HY15" i="4"/>
  <c r="EO15" i="4"/>
  <c r="FR15" i="4"/>
  <c r="HM15" i="4"/>
  <c r="CP15" i="4"/>
  <c r="IY15" i="4"/>
  <c r="EB15" i="4"/>
  <c r="AC15" i="4"/>
  <c r="EY15" i="4"/>
  <c r="BC15" i="4"/>
  <c r="FT15" i="4"/>
  <c r="BJ15" i="4"/>
  <c r="BZ15" i="4"/>
  <c r="BI15" i="4"/>
  <c r="BK15" i="4"/>
  <c r="CH15" i="4"/>
  <c r="V15" i="4"/>
  <c r="HR15" i="4"/>
  <c r="DZ15" i="4"/>
  <c r="AX15" i="4"/>
  <c r="HQ15" i="4"/>
  <c r="IL15" i="4"/>
  <c r="FJ15" i="4"/>
  <c r="GZ15" i="4"/>
  <c r="BX15" i="4"/>
  <c r="IK15" i="4"/>
  <c r="DQ15" i="4"/>
  <c r="K15" i="4"/>
  <c r="EK15" i="4"/>
  <c r="AT15" i="4"/>
  <c r="EU15" i="4"/>
  <c r="BA15" i="4"/>
  <c r="CR15" i="4"/>
  <c r="CS15" i="4"/>
  <c r="CC15" i="4"/>
  <c r="CZ15" i="4"/>
  <c r="K7" i="3"/>
  <c r="J7" i="5" s="1"/>
  <c r="M7" i="3"/>
  <c r="L7" i="3" s="1"/>
  <c r="K7" i="5" s="1"/>
  <c r="BM32" i="4"/>
  <c r="HE32" i="4"/>
  <c r="BK32" i="4"/>
  <c r="GE32" i="4"/>
  <c r="AE32" i="4"/>
  <c r="GA32" i="4"/>
  <c r="W32" i="4"/>
  <c r="DL32" i="4"/>
  <c r="T32" i="4"/>
  <c r="DD32" i="4"/>
  <c r="DA32" i="4"/>
  <c r="BU32" i="4"/>
  <c r="FW32" i="4"/>
  <c r="GU32" i="4"/>
  <c r="HS32" i="4"/>
  <c r="HB32" i="4"/>
  <c r="BT32" i="4"/>
  <c r="FO32" i="4"/>
  <c r="BH32" i="4"/>
  <c r="EH32" i="4"/>
  <c r="AV32" i="4"/>
  <c r="DR32" i="4"/>
  <c r="AJ32" i="4"/>
  <c r="DF32" i="4"/>
  <c r="X32" i="4"/>
  <c r="DC32" i="4"/>
  <c r="V32" i="4"/>
  <c r="DX32" i="4"/>
  <c r="EP32" i="4"/>
  <c r="FK32" i="4"/>
  <c r="FW9" i="4"/>
  <c r="EE9" i="4"/>
  <c r="GH9" i="4"/>
  <c r="IN26" i="4"/>
  <c r="DR26" i="4"/>
  <c r="S26" i="4"/>
  <c r="EP26" i="4"/>
  <c r="AQ26" i="4"/>
  <c r="II26" i="4"/>
  <c r="DP26" i="4"/>
  <c r="Q26" i="4"/>
  <c r="GI26" i="4"/>
  <c r="CB26" i="4"/>
  <c r="IO26" i="4"/>
  <c r="IL24" i="4"/>
  <c r="HA24" i="4"/>
  <c r="FQ24" i="4"/>
  <c r="EF24" i="4"/>
  <c r="CV24" i="4"/>
  <c r="BK24" i="4"/>
  <c r="AC24" i="4"/>
  <c r="ID24" i="4"/>
  <c r="GS24" i="4"/>
  <c r="FI24" i="4"/>
  <c r="DX24" i="4"/>
  <c r="CN24" i="4"/>
  <c r="BC24" i="4"/>
  <c r="V24" i="4"/>
  <c r="FH24" i="4"/>
  <c r="U24" i="4"/>
  <c r="EZ24" i="4"/>
  <c r="N24" i="4"/>
  <c r="DW24" i="4"/>
  <c r="DO24" i="4"/>
  <c r="IC24" i="4"/>
  <c r="CM24" i="4"/>
  <c r="HU24" i="4"/>
  <c r="CE24" i="4"/>
  <c r="AT24" i="4"/>
  <c r="BB24" i="4"/>
  <c r="GR24" i="4"/>
  <c r="GJ24" i="4"/>
  <c r="BR24" i="4"/>
  <c r="EM24" i="4"/>
  <c r="HH24" i="4"/>
  <c r="AB24" i="4"/>
  <c r="CU24" i="4"/>
  <c r="FP24" i="4"/>
  <c r="IK24" i="4"/>
  <c r="CT24" i="4"/>
  <c r="FF24" i="4"/>
  <c r="HR24" i="4"/>
  <c r="HC24" i="4"/>
  <c r="HB28" i="4"/>
  <c r="AX28" i="4"/>
  <c r="EH28" i="4"/>
  <c r="HW28" i="4"/>
  <c r="X28" i="4"/>
  <c r="EV28" i="4"/>
  <c r="Y28" i="4"/>
  <c r="HI16" i="4"/>
  <c r="DU16" i="4"/>
  <c r="BQ16" i="4"/>
  <c r="HF16" i="4"/>
  <c r="DR16" i="4"/>
  <c r="AW16" i="4"/>
  <c r="GG16" i="4"/>
  <c r="DQ16" i="4"/>
  <c r="AS16" i="4"/>
  <c r="GC16" i="4"/>
  <c r="CU16" i="4"/>
  <c r="AQ16" i="4"/>
  <c r="IL16" i="4"/>
  <c r="EW16" i="4"/>
  <c r="BV16" i="4"/>
  <c r="R16" i="4"/>
  <c r="FA16" i="4"/>
  <c r="ET16" i="4"/>
  <c r="CS16" i="4"/>
  <c r="CP16" i="4"/>
  <c r="IS16" i="4"/>
  <c r="BR16" i="4"/>
  <c r="IO16" i="4"/>
  <c r="V16" i="4"/>
  <c r="HM16" i="4"/>
  <c r="FZ16" i="4"/>
  <c r="S16" i="4"/>
  <c r="CC16" i="4"/>
  <c r="IF16" i="4"/>
  <c r="FT16" i="4"/>
  <c r="DH16" i="4"/>
  <c r="AV16" i="4"/>
  <c r="IE16" i="4"/>
  <c r="FS16" i="4"/>
  <c r="DG16" i="4"/>
  <c r="AU16" i="4"/>
  <c r="IB16" i="4"/>
  <c r="FP16" i="4"/>
  <c r="DD16" i="4"/>
  <c r="AR16" i="4"/>
  <c r="II16" i="4"/>
  <c r="FW16" i="4"/>
  <c r="IH16" i="4"/>
  <c r="DM16" i="4"/>
  <c r="N16" i="4"/>
  <c r="EO16" i="4"/>
  <c r="AL16" i="4"/>
  <c r="FR16" i="4"/>
  <c r="BJ16" i="4"/>
  <c r="GT16" i="4"/>
  <c r="CG16" i="4"/>
  <c r="CD16" i="4"/>
  <c r="AG16" i="4"/>
  <c r="DI16" i="4"/>
  <c r="BO16" i="4"/>
  <c r="EC16" i="4"/>
  <c r="HP16" i="4"/>
  <c r="FD16" i="4"/>
  <c r="CR16" i="4"/>
  <c r="AF16" i="4"/>
  <c r="HO16" i="4"/>
  <c r="FC16" i="4"/>
  <c r="CQ16" i="4"/>
  <c r="AE16" i="4"/>
  <c r="HL16" i="4"/>
  <c r="EZ16" i="4"/>
  <c r="CN16" i="4"/>
  <c r="AB16" i="4"/>
  <c r="HS16" i="4"/>
  <c r="FG16" i="4"/>
  <c r="HB16" i="4"/>
  <c r="CM16" i="4"/>
  <c r="IG16" i="4"/>
  <c r="DK16" i="4"/>
  <c r="M16" i="4"/>
  <c r="EL16" i="4"/>
  <c r="AK16" i="4"/>
  <c r="FN16" i="4"/>
  <c r="BG16" i="4"/>
  <c r="ED16" i="4"/>
  <c r="GA13" i="4"/>
  <c r="GD10" i="4"/>
  <c r="IO13" i="4"/>
  <c r="DM11" i="4"/>
  <c r="AF11" i="4"/>
  <c r="DP11" i="4"/>
  <c r="GZ11" i="4"/>
  <c r="AH11" i="4"/>
  <c r="DR11" i="4"/>
  <c r="HB11" i="4"/>
  <c r="AA11" i="4"/>
  <c r="DK11" i="4"/>
  <c r="GU11" i="4"/>
  <c r="T11" i="4"/>
  <c r="DD11" i="4"/>
  <c r="GN11" i="4"/>
  <c r="HG10" i="4"/>
  <c r="AU10" i="4"/>
  <c r="EO11" i="4"/>
  <c r="FW10" i="4"/>
  <c r="IU11" i="4"/>
  <c r="EO10" i="4"/>
  <c r="IV10" i="4"/>
  <c r="BN10" i="4"/>
  <c r="FJ7" i="4"/>
  <c r="DT6" i="4"/>
  <c r="U6" i="4"/>
  <c r="ES6" i="4"/>
  <c r="GH6" i="4"/>
  <c r="CW7" i="4"/>
  <c r="FD6" i="4"/>
  <c r="T6" i="4"/>
  <c r="DX7" i="4"/>
  <c r="FU6" i="4"/>
  <c r="AA6" i="4"/>
  <c r="IU7" i="4"/>
  <c r="P7" i="4"/>
  <c r="HA7" i="4"/>
  <c r="CD7" i="4"/>
  <c r="HB7" i="4"/>
  <c r="AY7" i="4"/>
  <c r="FW7" i="4"/>
  <c r="AR7" i="4"/>
  <c r="FP7" i="4"/>
  <c r="HX23" i="4"/>
  <c r="GR23" i="4"/>
  <c r="FO23" i="4"/>
  <c r="EU23" i="4"/>
  <c r="EA23" i="4"/>
  <c r="DK23" i="4"/>
  <c r="CY23" i="4"/>
  <c r="CK23" i="4"/>
  <c r="BW23" i="4"/>
  <c r="BL23" i="4"/>
  <c r="AX23" i="4"/>
  <c r="AM23" i="4"/>
  <c r="Y23" i="4"/>
  <c r="K23" i="4"/>
  <c r="HW23" i="4"/>
  <c r="GQ23" i="4"/>
  <c r="FL23" i="4"/>
  <c r="EQ23" i="4"/>
  <c r="DY23" i="4"/>
  <c r="DI23" i="4"/>
  <c r="CU23" i="4"/>
  <c r="CJ23" i="4"/>
  <c r="BV23" i="4"/>
  <c r="BK23" i="4"/>
  <c r="AW23" i="4"/>
  <c r="AI23" i="4"/>
  <c r="X23" i="4"/>
  <c r="J23" i="4"/>
  <c r="IV23" i="4"/>
  <c r="HP23" i="4"/>
  <c r="GJ23" i="4"/>
  <c r="FK23" i="4"/>
  <c r="EN23" i="4"/>
  <c r="DX23" i="4"/>
  <c r="DH23" i="4"/>
  <c r="CT23" i="4"/>
  <c r="CI23" i="4"/>
  <c r="BU23" i="4"/>
  <c r="BG23" i="4"/>
  <c r="AV23" i="4"/>
  <c r="AH23" i="4"/>
  <c r="W23" i="4"/>
  <c r="IU23" i="4"/>
  <c r="HO23" i="4"/>
  <c r="GI23" i="4"/>
  <c r="FG23" i="4"/>
  <c r="EM23" i="4"/>
  <c r="DW23" i="4"/>
  <c r="DG23" i="4"/>
  <c r="CS23" i="4"/>
  <c r="CE23" i="4"/>
  <c r="BT23" i="4"/>
  <c r="BF23" i="4"/>
  <c r="AU23" i="4"/>
  <c r="AG23" i="4"/>
  <c r="S23" i="4"/>
  <c r="IN23" i="4"/>
  <c r="HH23" i="4"/>
  <c r="GB23" i="4"/>
  <c r="FD23" i="4"/>
  <c r="EI23" i="4"/>
  <c r="DS23" i="4"/>
  <c r="DC23" i="4"/>
  <c r="CR23" i="4"/>
  <c r="CD23" i="4"/>
  <c r="BS23" i="4"/>
  <c r="BE23" i="4"/>
  <c r="AQ23" i="4"/>
  <c r="AF23" i="4"/>
  <c r="R23" i="4"/>
  <c r="F23" i="4"/>
  <c r="H23" i="4" s="1"/>
  <c r="FT23" i="4"/>
  <c r="DA23" i="4"/>
  <c r="BC23" i="4"/>
  <c r="FC23" i="4"/>
  <c r="CQ23" i="4"/>
  <c r="AP23" i="4"/>
  <c r="EY23" i="4"/>
  <c r="CM23" i="4"/>
  <c r="AO23" i="4"/>
  <c r="IM23" i="4"/>
  <c r="EG23" i="4"/>
  <c r="CC23" i="4"/>
  <c r="AE23" i="4"/>
  <c r="IF23" i="4"/>
  <c r="EF23" i="4"/>
  <c r="CB23" i="4"/>
  <c r="AA23" i="4"/>
  <c r="HG23" i="4"/>
  <c r="DQ23" i="4"/>
  <c r="BO23" i="4"/>
  <c r="Q23" i="4"/>
  <c r="P23" i="4"/>
  <c r="GZ23" i="4"/>
  <c r="GA23" i="4"/>
  <c r="DP23" i="4"/>
  <c r="DB23" i="4"/>
  <c r="BN23" i="4"/>
  <c r="BD23" i="4"/>
  <c r="AN7" i="4"/>
  <c r="DY6" i="4"/>
  <c r="F30" i="4"/>
  <c r="H30" i="4" s="1"/>
  <c r="GG7" i="4"/>
  <c r="GH8" i="4"/>
  <c r="DN8" i="4"/>
  <c r="BB8" i="4"/>
  <c r="HS8" i="4"/>
  <c r="EW8" i="4"/>
  <c r="CH8" i="4"/>
  <c r="V8" i="4"/>
  <c r="GZ8" i="4"/>
  <c r="EE8" i="4"/>
  <c r="BR8" i="4"/>
  <c r="GG8" i="4"/>
  <c r="HB8" i="4"/>
  <c r="EP8" i="4"/>
  <c r="HE8" i="4"/>
  <c r="EJ8" i="4"/>
  <c r="BV8" i="4"/>
  <c r="J8" i="4"/>
  <c r="GK8" i="4"/>
  <c r="DQ8" i="4"/>
  <c r="BE8" i="4"/>
  <c r="ID8" i="4"/>
  <c r="FI8" i="4"/>
  <c r="CR8" i="4"/>
  <c r="AF8" i="4"/>
  <c r="HK8" i="4"/>
  <c r="EO8" i="4"/>
  <c r="CA8" i="4"/>
  <c r="O8" i="4"/>
  <c r="EC8" i="4"/>
  <c r="DK8" i="4"/>
  <c r="IT8" i="4"/>
  <c r="DF8" i="4"/>
  <c r="IA8" i="4"/>
  <c r="CO8" i="4"/>
  <c r="HG8" i="4"/>
  <c r="BX8" i="4"/>
  <c r="GN8" i="4"/>
  <c r="BG8" i="4"/>
  <c r="U8" i="4"/>
  <c r="GT8" i="4"/>
  <c r="EH8" i="4"/>
  <c r="GV8" i="4"/>
  <c r="EA8" i="4"/>
  <c r="BN8" i="4"/>
  <c r="IW8" i="4"/>
  <c r="GB8" i="4"/>
  <c r="DI8" i="4"/>
  <c r="AW8" i="4"/>
  <c r="HU8" i="4"/>
  <c r="EZ8" i="4"/>
  <c r="CJ8" i="4"/>
  <c r="X8" i="4"/>
  <c r="HA8" i="4"/>
  <c r="EF8" i="4"/>
  <c r="BS8" i="4"/>
  <c r="DL8" i="4"/>
  <c r="IG8" i="4"/>
  <c r="CU8" i="4"/>
  <c r="IB8" i="4"/>
  <c r="CP8" i="4"/>
  <c r="HH8" i="4"/>
  <c r="BY8" i="4"/>
  <c r="GO8" i="4"/>
  <c r="BH8" i="4"/>
  <c r="FU8" i="4"/>
  <c r="AQ8" i="4"/>
  <c r="CG8" i="4"/>
  <c r="EV8" i="4"/>
  <c r="AL8" i="4"/>
  <c r="BA8" i="4"/>
  <c r="IP8" i="4"/>
  <c r="GD8" i="4"/>
  <c r="IY8" i="4"/>
  <c r="GC8" i="4"/>
  <c r="DJ8" i="4"/>
  <c r="AX8" i="4"/>
  <c r="IE8" i="4"/>
  <c r="FJ8" i="4"/>
  <c r="CS8" i="4"/>
  <c r="AG8" i="4"/>
  <c r="HC8" i="4"/>
  <c r="EG8" i="4"/>
  <c r="BT8" i="4"/>
  <c r="GI8" i="4"/>
  <c r="DO8" i="4"/>
  <c r="BC8" i="4"/>
  <c r="HP8" i="4"/>
  <c r="CF8" i="4"/>
  <c r="GW8" i="4"/>
  <c r="BO8" i="4"/>
  <c r="GQ8" i="4"/>
  <c r="BJ8" i="4"/>
  <c r="FX8" i="4"/>
  <c r="AS8" i="4"/>
  <c r="FD8" i="4"/>
  <c r="AB8" i="4"/>
  <c r="EK8" i="4"/>
  <c r="K8" i="4"/>
  <c r="HQ8" i="4"/>
  <c r="AK8" i="4"/>
  <c r="CX8" i="4"/>
  <c r="DM8" i="4"/>
  <c r="IH8" i="4"/>
  <c r="FV8" i="4"/>
  <c r="IO8" i="4"/>
  <c r="FT8" i="4"/>
  <c r="DB8" i="4"/>
  <c r="AP8" i="4"/>
  <c r="HV8" i="4"/>
  <c r="FA8" i="4"/>
  <c r="CK8" i="4"/>
  <c r="Y8" i="4"/>
  <c r="GS8" i="4"/>
  <c r="DX8" i="4"/>
  <c r="BL8" i="4"/>
  <c r="IU8" i="4"/>
  <c r="FZ8" i="4"/>
  <c r="DG8" i="4"/>
  <c r="AU8" i="4"/>
  <c r="GX8" i="4"/>
  <c r="BP8" i="4"/>
  <c r="GE8" i="4"/>
  <c r="AY8" i="4"/>
  <c r="FY8" i="4"/>
  <c r="AT8" i="4"/>
  <c r="FE8" i="4"/>
  <c r="AC8" i="4"/>
  <c r="EL8" i="4"/>
  <c r="L8" i="4"/>
  <c r="DS8" i="4"/>
  <c r="BQ8" i="4"/>
  <c r="II8" i="4"/>
  <c r="DW8" i="4"/>
  <c r="P8" i="4"/>
  <c r="EQ8" i="4"/>
  <c r="AO8" i="4"/>
  <c r="FS8" i="4"/>
  <c r="BF8" i="4"/>
  <c r="GM8" i="4"/>
  <c r="GL8" i="4"/>
  <c r="F19" i="4"/>
  <c r="P19" i="4"/>
  <c r="IN19" i="4"/>
  <c r="HX19" i="4"/>
  <c r="HH19" i="4"/>
  <c r="GR19" i="4"/>
  <c r="GC19" i="4"/>
  <c r="FS19" i="4"/>
  <c r="FH19" i="4"/>
  <c r="EW19" i="4"/>
  <c r="EM19" i="4"/>
  <c r="EB19" i="4"/>
  <c r="DQ19" i="4"/>
  <c r="DG19" i="4"/>
  <c r="CV19" i="4"/>
  <c r="CK19" i="4"/>
  <c r="CA19" i="4"/>
  <c r="BP19" i="4"/>
  <c r="BE19" i="4"/>
  <c r="AU19" i="4"/>
  <c r="AJ19" i="4"/>
  <c r="Y19" i="4"/>
  <c r="O19" i="4"/>
  <c r="GZ19" i="4"/>
  <c r="FC19" i="4"/>
  <c r="DL19" i="4"/>
  <c r="BU19" i="4"/>
  <c r="AE19" i="4"/>
  <c r="IW19" i="4"/>
  <c r="GK19" i="4"/>
  <c r="ET19" i="4"/>
  <c r="DC19" i="4"/>
  <c r="BL19" i="4"/>
  <c r="V19" i="4"/>
  <c r="IV19" i="4"/>
  <c r="GJ19" i="4"/>
  <c r="ER19" i="4"/>
  <c r="DA19" i="4"/>
  <c r="BK19" i="4"/>
  <c r="T19" i="4"/>
  <c r="IG19" i="4"/>
  <c r="FZ19" i="4"/>
  <c r="EI19" i="4"/>
  <c r="CR19" i="4"/>
  <c r="BB19" i="4"/>
  <c r="K19" i="4"/>
  <c r="IF19" i="4"/>
  <c r="FX19" i="4"/>
  <c r="EG19" i="4"/>
  <c r="CQ19" i="4"/>
  <c r="AZ19" i="4"/>
  <c r="H19" i="4"/>
  <c r="HQ19" i="4"/>
  <c r="DN19" i="4"/>
  <c r="HP19" i="4"/>
  <c r="CH19" i="4"/>
  <c r="HA19" i="4"/>
  <c r="CF19" i="4"/>
  <c r="FO19" i="4"/>
  <c r="BW19" i="4"/>
  <c r="FM19" i="4"/>
  <c r="AQ19" i="4"/>
  <c r="AF19" i="4"/>
  <c r="DW19" i="4"/>
  <c r="FD19" i="4"/>
  <c r="DX19" i="4"/>
  <c r="AO19" i="4"/>
  <c r="HD19" i="4"/>
  <c r="HS19" i="4"/>
  <c r="HZ19" i="4"/>
  <c r="FN19" i="4"/>
  <c r="DB19" i="4"/>
  <c r="AP19" i="4"/>
  <c r="AR19" i="4"/>
  <c r="DY19" i="4"/>
  <c r="HV19" i="4"/>
  <c r="CJ19" i="4"/>
  <c r="FR19" i="4"/>
  <c r="FO8" i="4"/>
  <c r="DO28" i="4"/>
  <c r="DJ28" i="4"/>
  <c r="IE26" i="4"/>
  <c r="FO26" i="4"/>
  <c r="DK26" i="4"/>
  <c r="BM26" i="4"/>
  <c r="O26" i="4"/>
  <c r="IA26" i="4"/>
  <c r="FM26" i="4"/>
  <c r="DJ26" i="4"/>
  <c r="BL26" i="4"/>
  <c r="K26" i="4"/>
  <c r="HK26" i="4"/>
  <c r="EY26" i="4"/>
  <c r="CZ26" i="4"/>
  <c r="AY26" i="4"/>
  <c r="HI26" i="4"/>
  <c r="EW26" i="4"/>
  <c r="CY26" i="4"/>
  <c r="AX26" i="4"/>
  <c r="GU26" i="4"/>
  <c r="EM26" i="4"/>
  <c r="CL26" i="4"/>
  <c r="AN26" i="4"/>
  <c r="GS26" i="4"/>
  <c r="EI26" i="4"/>
  <c r="CK26" i="4"/>
  <c r="AM26" i="4"/>
  <c r="BW26" i="4"/>
  <c r="IY26" i="4"/>
  <c r="Z26" i="4"/>
  <c r="IV26" i="4"/>
  <c r="Y26" i="4"/>
  <c r="GE26" i="4"/>
  <c r="GC26" i="4"/>
  <c r="DY26" i="4"/>
  <c r="DX26" i="4"/>
  <c r="CA26" i="4"/>
  <c r="HB26" i="4"/>
  <c r="EV26" i="4"/>
  <c r="AW26" i="4"/>
  <c r="IQ26" i="4"/>
  <c r="DS26" i="4"/>
  <c r="W26" i="4"/>
  <c r="HS26" i="4"/>
  <c r="DG26" i="4"/>
  <c r="EE26" i="4"/>
  <c r="AF26" i="4"/>
  <c r="HP26" i="4"/>
  <c r="DB26" i="4"/>
  <c r="IT26" i="4"/>
  <c r="BU27" i="4"/>
  <c r="BA27" i="4"/>
  <c r="AD27" i="4"/>
  <c r="HZ27" i="4"/>
  <c r="ES27" i="4"/>
  <c r="BJ27" i="4"/>
  <c r="HF27" i="4"/>
  <c r="DY27" i="4"/>
  <c r="AS27" i="4"/>
  <c r="HE27" i="4"/>
  <c r="DV27" i="4"/>
  <c r="AO27" i="4"/>
  <c r="GK27" i="4"/>
  <c r="DE27" i="4"/>
  <c r="V27" i="4"/>
  <c r="GH27" i="4"/>
  <c r="DA27" i="4"/>
  <c r="U27" i="4"/>
  <c r="FQ27" i="4"/>
  <c r="CH27" i="4"/>
  <c r="IX27" i="4"/>
  <c r="ID27" i="4"/>
  <c r="FM27" i="4"/>
  <c r="ET27" i="4"/>
  <c r="BM27" i="4"/>
  <c r="CG27" i="4"/>
  <c r="BO27" i="4"/>
  <c r="EA27" i="4"/>
  <c r="GM27" i="4"/>
  <c r="BP27" i="4"/>
  <c r="EB27" i="4"/>
  <c r="GN27" i="4"/>
  <c r="HX27" i="4"/>
  <c r="FS26" i="4"/>
  <c r="BN26" i="4"/>
  <c r="IW26" i="4"/>
  <c r="DN24" i="4"/>
  <c r="HL24" i="4"/>
  <c r="HK24" i="4"/>
  <c r="W24" i="4"/>
  <c r="CO24" i="4"/>
  <c r="FJ24" i="4"/>
  <c r="IE24" i="4"/>
  <c r="AV24" i="4"/>
  <c r="DQ24" i="4"/>
  <c r="GM24" i="4"/>
  <c r="Q24" i="4"/>
  <c r="CH24" i="4"/>
  <c r="FC24" i="4"/>
  <c r="HX24" i="4"/>
  <c r="AY24" i="4"/>
  <c r="DT24" i="4"/>
  <c r="GO24" i="4"/>
  <c r="K24" i="4"/>
  <c r="CA24" i="4"/>
  <c r="EV24" i="4"/>
  <c r="HQ24" i="4"/>
  <c r="AJ24" i="4"/>
  <c r="DD24" i="4"/>
  <c r="FY24" i="4"/>
  <c r="IT24" i="4"/>
  <c r="DB24" i="4"/>
  <c r="FN24" i="4"/>
  <c r="HZ24" i="4"/>
  <c r="FR24" i="4"/>
  <c r="IP28" i="4"/>
  <c r="CL28" i="4"/>
  <c r="GA28" i="4"/>
  <c r="W28" i="4"/>
  <c r="AN28" i="4"/>
  <c r="FL28" i="4"/>
  <c r="AO28" i="4"/>
  <c r="FM28" i="4"/>
  <c r="IT20" i="4"/>
  <c r="IB20" i="4"/>
  <c r="HE20" i="4"/>
  <c r="GH20" i="4"/>
  <c r="FP20" i="4"/>
  <c r="ES20" i="4"/>
  <c r="DV20" i="4"/>
  <c r="DD20" i="4"/>
  <c r="CG20" i="4"/>
  <c r="BJ20" i="4"/>
  <c r="AR20" i="4"/>
  <c r="W20" i="4"/>
  <c r="IS20" i="4"/>
  <c r="HV20" i="4"/>
  <c r="HD20" i="4"/>
  <c r="GG20" i="4"/>
  <c r="FJ20" i="4"/>
  <c r="ER20" i="4"/>
  <c r="DU20" i="4"/>
  <c r="CX20" i="4"/>
  <c r="CF20" i="4"/>
  <c r="BI20" i="4"/>
  <c r="AL20" i="4"/>
  <c r="V20" i="4"/>
  <c r="IL20" i="4"/>
  <c r="HT20" i="4"/>
  <c r="GW20" i="4"/>
  <c r="FZ20" i="4"/>
  <c r="FH20" i="4"/>
  <c r="EK20" i="4"/>
  <c r="DN20" i="4"/>
  <c r="CV20" i="4"/>
  <c r="BY20" i="4"/>
  <c r="BB20" i="4"/>
  <c r="AJ20" i="4"/>
  <c r="T20" i="4"/>
  <c r="IJ20" i="4"/>
  <c r="FA20" i="4"/>
  <c r="BR20" i="4"/>
  <c r="HN20" i="4"/>
  <c r="EJ20" i="4"/>
  <c r="BA20" i="4"/>
  <c r="HM20" i="4"/>
  <c r="ED20" i="4"/>
  <c r="AZ20" i="4"/>
  <c r="GV20" i="4"/>
  <c r="DM20" i="4"/>
  <c r="AE20" i="4"/>
  <c r="GP20" i="4"/>
  <c r="DL20" i="4"/>
  <c r="AD20" i="4"/>
  <c r="FB20" i="4"/>
  <c r="CP20" i="4"/>
  <c r="CO20" i="4"/>
  <c r="BX20" i="4"/>
  <c r="O20" i="4"/>
  <c r="FX20" i="4"/>
  <c r="N20" i="4"/>
  <c r="IK20" i="4"/>
  <c r="FY20" i="4"/>
  <c r="II20" i="4"/>
  <c r="FW20" i="4"/>
  <c r="DK20" i="4"/>
  <c r="AY20" i="4"/>
  <c r="IP20" i="4"/>
  <c r="GD20" i="4"/>
  <c r="DR20" i="4"/>
  <c r="BF20" i="4"/>
  <c r="IO20" i="4"/>
  <c r="GC20" i="4"/>
  <c r="DQ20" i="4"/>
  <c r="BE20" i="4"/>
  <c r="IF20" i="4"/>
  <c r="FT20" i="4"/>
  <c r="DH20" i="4"/>
  <c r="AV20" i="4"/>
  <c r="IE20" i="4"/>
  <c r="FS20" i="4"/>
  <c r="DG20" i="4"/>
  <c r="AU20" i="4"/>
  <c r="EL20" i="4"/>
  <c r="BW20" i="4"/>
  <c r="EQ20" i="4"/>
  <c r="HK20" i="4"/>
  <c r="FI13" i="4"/>
  <c r="BQ13" i="4"/>
  <c r="S13" i="4"/>
  <c r="CM13" i="4"/>
  <c r="FG13" i="4"/>
  <c r="IA13" i="4"/>
  <c r="AR13" i="4"/>
  <c r="DL13" i="4"/>
  <c r="GN13" i="4"/>
  <c r="GG13" i="4"/>
  <c r="IS10" i="4"/>
  <c r="FY10" i="4"/>
  <c r="DE10" i="4"/>
  <c r="AK10" i="4"/>
  <c r="BF16" i="4"/>
  <c r="IK14" i="4"/>
  <c r="HU14" i="4"/>
  <c r="HE14" i="4"/>
  <c r="GO14" i="4"/>
  <c r="FY14" i="4"/>
  <c r="FI14" i="4"/>
  <c r="ES14" i="4"/>
  <c r="EC14" i="4"/>
  <c r="DN14" i="4"/>
  <c r="CZ14" i="4"/>
  <c r="CO14" i="4"/>
  <c r="CA14" i="4"/>
  <c r="BP14" i="4"/>
  <c r="BB14" i="4"/>
  <c r="AN14" i="4"/>
  <c r="AC14" i="4"/>
  <c r="O14" i="4"/>
  <c r="GN14" i="4"/>
  <c r="FX14" i="4"/>
  <c r="FH14" i="4"/>
  <c r="ER14" i="4"/>
  <c r="EB14" i="4"/>
  <c r="DM14" i="4"/>
  <c r="CY14" i="4"/>
  <c r="CN14" i="4"/>
  <c r="BZ14" i="4"/>
  <c r="BL14" i="4"/>
  <c r="BA14" i="4"/>
  <c r="AM14" i="4"/>
  <c r="AB14" i="4"/>
  <c r="N14" i="4"/>
  <c r="IF14" i="4"/>
  <c r="GW14" i="4"/>
  <c r="FB14" i="4"/>
  <c r="DL14" i="4"/>
  <c r="CH14" i="4"/>
  <c r="AV14" i="4"/>
  <c r="M14" i="4"/>
  <c r="ID14" i="4"/>
  <c r="GJ14" i="4"/>
  <c r="FA14" i="4"/>
  <c r="DH14" i="4"/>
  <c r="BY14" i="4"/>
  <c r="AU14" i="4"/>
  <c r="L14" i="4"/>
  <c r="IC14" i="4"/>
  <c r="GH14" i="4"/>
  <c r="EN14" i="4"/>
  <c r="DG14" i="4"/>
  <c r="BX14" i="4"/>
  <c r="AL14" i="4"/>
  <c r="HP14" i="4"/>
  <c r="GG14" i="4"/>
  <c r="EL14" i="4"/>
  <c r="CX14" i="4"/>
  <c r="BT14" i="4"/>
  <c r="AK14" i="4"/>
  <c r="IU14" i="4"/>
  <c r="GZ14" i="4"/>
  <c r="FQ14" i="4"/>
  <c r="DV14" i="4"/>
  <c r="CJ14" i="4"/>
  <c r="BI14" i="4"/>
  <c r="W14" i="4"/>
  <c r="HM14" i="4"/>
  <c r="CW14" i="4"/>
  <c r="V14" i="4"/>
  <c r="GX14" i="4"/>
  <c r="CV14" i="4"/>
  <c r="FT14" i="4"/>
  <c r="CI14" i="4"/>
  <c r="FR14" i="4"/>
  <c r="BK14" i="4"/>
  <c r="FD14" i="4"/>
  <c r="BJ14" i="4"/>
  <c r="IW14" i="4"/>
  <c r="EK14" i="4"/>
  <c r="AZ14" i="4"/>
  <c r="X14" i="4"/>
  <c r="IT14" i="4"/>
  <c r="HN14" i="4"/>
  <c r="DX14" i="4"/>
  <c r="DU14" i="4"/>
  <c r="AJ14" i="4"/>
  <c r="HD14" i="4"/>
  <c r="HK14" i="4"/>
  <c r="EY14" i="4"/>
  <c r="CM14" i="4"/>
  <c r="AA14" i="4"/>
  <c r="HR14" i="4"/>
  <c r="FF14" i="4"/>
  <c r="CT14" i="4"/>
  <c r="AH14" i="4"/>
  <c r="HQ14" i="4"/>
  <c r="FE14" i="4"/>
  <c r="CS14" i="4"/>
  <c r="AG14" i="4"/>
  <c r="HG14" i="4"/>
  <c r="EU14" i="4"/>
  <c r="BQ14" i="4"/>
  <c r="FZ14" i="4"/>
  <c r="AE14" i="4"/>
  <c r="EF14" i="4"/>
  <c r="DF14" i="4"/>
  <c r="IB14" i="4"/>
  <c r="BW14" i="4"/>
  <c r="EQ14" i="4"/>
  <c r="HS14" i="4"/>
  <c r="GC13" i="4"/>
  <c r="CJ13" i="4"/>
  <c r="IJ10" i="4"/>
  <c r="FP10" i="4"/>
  <c r="CV10" i="4"/>
  <c r="AB10" i="4"/>
  <c r="AD16" i="4"/>
  <c r="EH16" i="4"/>
  <c r="AX16" i="4"/>
  <c r="GX16" i="4"/>
  <c r="CL16" i="4"/>
  <c r="IW16" i="4"/>
  <c r="EP16" i="4"/>
  <c r="EQ16" i="4"/>
  <c r="IA16" i="4"/>
  <c r="BH16" i="4"/>
  <c r="EJ16" i="4"/>
  <c r="HT16" i="4"/>
  <c r="BK16" i="4"/>
  <c r="EM16" i="4"/>
  <c r="HW16" i="4"/>
  <c r="BL16" i="4"/>
  <c r="EN16" i="4"/>
  <c r="HX16" i="4"/>
  <c r="IX10" i="4"/>
  <c r="FV10" i="4"/>
  <c r="HC12" i="4"/>
  <c r="FD12" i="4"/>
  <c r="CU12" i="4"/>
  <c r="AQ12" i="4"/>
  <c r="GY12" i="4"/>
  <c r="EQ12" i="4"/>
  <c r="CR12" i="4"/>
  <c r="AM12" i="4"/>
  <c r="IU12" i="4"/>
  <c r="GT12" i="4"/>
  <c r="EM12" i="4"/>
  <c r="CE12" i="4"/>
  <c r="AJ12" i="4"/>
  <c r="IO12" i="4"/>
  <c r="GI12" i="4"/>
  <c r="EH12" i="4"/>
  <c r="CA12" i="4"/>
  <c r="AA12" i="4"/>
  <c r="IJ12" i="4"/>
  <c r="GC12" i="4"/>
  <c r="DW12" i="4"/>
  <c r="BV12" i="4"/>
  <c r="W12" i="4"/>
  <c r="HY12" i="4"/>
  <c r="FX12" i="4"/>
  <c r="DQ12" i="4"/>
  <c r="BK12" i="4"/>
  <c r="T12" i="4"/>
  <c r="DL12" i="4"/>
  <c r="DA12" i="4"/>
  <c r="BE12" i="4"/>
  <c r="AZ12" i="4"/>
  <c r="HS12" i="4"/>
  <c r="K12" i="4"/>
  <c r="HP12" i="4"/>
  <c r="FM12" i="4"/>
  <c r="FG12" i="4"/>
  <c r="ID12" i="4"/>
  <c r="FR12" i="4"/>
  <c r="DF12" i="4"/>
  <c r="IS12" i="4"/>
  <c r="GG12" i="4"/>
  <c r="DU12" i="4"/>
  <c r="BI12" i="4"/>
  <c r="GF12" i="4"/>
  <c r="CZ12" i="4"/>
  <c r="Z12" i="4"/>
  <c r="GQ12" i="4"/>
  <c r="DI12" i="4"/>
  <c r="AG12" i="4"/>
  <c r="GN12" i="4"/>
  <c r="DH12" i="4"/>
  <c r="AF12" i="4"/>
  <c r="HH12" i="4"/>
  <c r="DZ12" i="4"/>
  <c r="AT12" i="4"/>
  <c r="BW12" i="4"/>
  <c r="IM12" i="4"/>
  <c r="AB12" i="4"/>
  <c r="GJ12" i="4"/>
  <c r="AS12" i="4"/>
  <c r="HG12" i="4"/>
  <c r="HV12" i="4"/>
  <c r="FJ12" i="4"/>
  <c r="CX12" i="4"/>
  <c r="IK12" i="4"/>
  <c r="FY12" i="4"/>
  <c r="DM12" i="4"/>
  <c r="BA12" i="4"/>
  <c r="FV12" i="4"/>
  <c r="CN12" i="4"/>
  <c r="R12" i="4"/>
  <c r="GE12" i="4"/>
  <c r="CY12" i="4"/>
  <c r="Y12" i="4"/>
  <c r="GD12" i="4"/>
  <c r="CV12" i="4"/>
  <c r="X12" i="4"/>
  <c r="GV12" i="4"/>
  <c r="DP12" i="4"/>
  <c r="AL12" i="4"/>
  <c r="CS12" i="4"/>
  <c r="AR12" i="4"/>
  <c r="HD12" i="4"/>
  <c r="BM12" i="4"/>
  <c r="IA12" i="4"/>
  <c r="EA12" i="4"/>
  <c r="S12" i="4"/>
  <c r="FW12" i="4"/>
  <c r="HF12" i="4"/>
  <c r="ET12" i="4"/>
  <c r="CH12" i="4"/>
  <c r="HU12" i="4"/>
  <c r="FI12" i="4"/>
  <c r="CW12" i="4"/>
  <c r="IH12" i="4"/>
  <c r="EZ12" i="4"/>
  <c r="BT12" i="4"/>
  <c r="IQ12" i="4"/>
  <c r="FK12" i="4"/>
  <c r="CC12" i="4"/>
  <c r="IP12" i="4"/>
  <c r="FH12" i="4"/>
  <c r="CB12" i="4"/>
  <c r="GB12" i="4"/>
  <c r="CT12" i="4"/>
  <c r="V12" i="4"/>
  <c r="EI12" i="4"/>
  <c r="CF12" i="4"/>
  <c r="IV12" i="4"/>
  <c r="DC12" i="4"/>
  <c r="O12" i="4"/>
  <c r="FS12" i="4"/>
  <c r="AY12" i="4"/>
  <c r="HO12" i="4"/>
  <c r="CW11" i="4"/>
  <c r="AN11" i="4"/>
  <c r="EF11" i="4"/>
  <c r="HH11" i="4"/>
  <c r="AP11" i="4"/>
  <c r="EH11" i="4"/>
  <c r="HJ11" i="4"/>
  <c r="AI11" i="4"/>
  <c r="EA11" i="4"/>
  <c r="HC11" i="4"/>
  <c r="AB11" i="4"/>
  <c r="DT11" i="4"/>
  <c r="GV11" i="4"/>
  <c r="GQ10" i="4"/>
  <c r="S10" i="4"/>
  <c r="BO12" i="4"/>
  <c r="DI11" i="4"/>
  <c r="FG10" i="4"/>
  <c r="GK12" i="4"/>
  <c r="IE11" i="4"/>
  <c r="DY10" i="4"/>
  <c r="HZ12" i="4"/>
  <c r="IF10" i="4"/>
  <c r="AA10" i="4"/>
  <c r="FE12" i="4"/>
  <c r="BN12" i="4"/>
  <c r="GL12" i="4"/>
  <c r="AV12" i="4"/>
  <c r="FT12" i="4"/>
  <c r="BG12" i="4"/>
  <c r="HA12" i="4"/>
  <c r="BH12" i="4"/>
  <c r="HB12" i="4"/>
  <c r="DE12" i="4"/>
  <c r="HE12" i="4"/>
  <c r="DN12" i="4"/>
  <c r="GX12" i="4"/>
  <c r="ET7" i="4"/>
  <c r="IH6" i="4"/>
  <c r="DK6" i="4"/>
  <c r="BQ6" i="4"/>
  <c r="FA6" i="4"/>
  <c r="GP6" i="4"/>
  <c r="CG7" i="4"/>
  <c r="EU6" i="4"/>
  <c r="L6" i="4"/>
  <c r="DH7" i="4"/>
  <c r="FL6" i="4"/>
  <c r="S6" i="4"/>
  <c r="M19" i="3"/>
  <c r="L19" i="3" s="1"/>
  <c r="K19" i="5" s="1"/>
  <c r="GY7" i="4"/>
  <c r="DA7" i="4"/>
  <c r="HY7" i="4"/>
  <c r="DB7" i="4"/>
  <c r="HZ7" i="4"/>
  <c r="BW7" i="4"/>
  <c r="GU7" i="4"/>
  <c r="BP7" i="4"/>
  <c r="GN7" i="4"/>
  <c r="AC7" i="4"/>
  <c r="DP6" i="4"/>
  <c r="EK7" i="4"/>
  <c r="GY8" i="4"/>
  <c r="HX8" i="4"/>
  <c r="IR8" i="4"/>
  <c r="N8" i="4"/>
  <c r="S8" i="4"/>
  <c r="T8" i="4"/>
  <c r="W8" i="4"/>
  <c r="EY8" i="4"/>
  <c r="AN8" i="4"/>
  <c r="FR8" i="4"/>
  <c r="BM8" i="4"/>
  <c r="GU8" i="4"/>
  <c r="CD8" i="4"/>
  <c r="HN8" i="4"/>
  <c r="HJ8" i="4"/>
  <c r="IK8" i="4"/>
  <c r="CW8" i="4"/>
  <c r="HC26" i="4"/>
  <c r="CS26" i="4"/>
  <c r="IM26" i="4"/>
  <c r="DQ26" i="4"/>
  <c r="R26" i="4"/>
  <c r="GZ26" i="4"/>
  <c r="CQ26" i="4"/>
  <c r="FC26" i="4"/>
  <c r="BC26" i="4"/>
  <c r="EX26" i="4"/>
  <c r="GA24" i="4"/>
  <c r="FZ24" i="4"/>
  <c r="AE24" i="4"/>
  <c r="CX24" i="4"/>
  <c r="FS24" i="4"/>
  <c r="IN24" i="4"/>
  <c r="BE24" i="4"/>
  <c r="EA24" i="4"/>
  <c r="GV24" i="4"/>
  <c r="Y24" i="4"/>
  <c r="CQ24" i="4"/>
  <c r="FL24" i="4"/>
  <c r="IG24" i="4"/>
  <c r="BH24" i="4"/>
  <c r="EC24" i="4"/>
  <c r="GX24" i="4"/>
  <c r="S24" i="4"/>
  <c r="CJ24" i="4"/>
  <c r="FE24" i="4"/>
  <c r="IA24" i="4"/>
  <c r="AR24" i="4"/>
  <c r="DM24" i="4"/>
  <c r="GH24" i="4"/>
  <c r="AX24" i="4"/>
  <c r="DJ24" i="4"/>
  <c r="FV24" i="4"/>
  <c r="IH24" i="4"/>
  <c r="EG24" i="4"/>
  <c r="AP28" i="4"/>
  <c r="EE28" i="4"/>
  <c r="HR28" i="4"/>
  <c r="BN28" i="4"/>
  <c r="BD28" i="4"/>
  <c r="GB28" i="4"/>
  <c r="BE28" i="4"/>
  <c r="GC28" i="4"/>
  <c r="FQ10" i="4"/>
  <c r="CW10" i="4"/>
  <c r="AC10" i="4"/>
  <c r="FR13" i="4"/>
  <c r="BZ13" i="4"/>
  <c r="IB10" i="4"/>
  <c r="FH10" i="4"/>
  <c r="CN10" i="4"/>
  <c r="L10" i="4"/>
  <c r="U16" i="4"/>
  <c r="EX16" i="4"/>
  <c r="BW16" i="4"/>
  <c r="HN16" i="4"/>
  <c r="CX16" i="4"/>
  <c r="AA16" i="4"/>
  <c r="FF16" i="4"/>
  <c r="EY16" i="4"/>
  <c r="IQ16" i="4"/>
  <c r="BP16" i="4"/>
  <c r="ER16" i="4"/>
  <c r="IJ16" i="4"/>
  <c r="BS16" i="4"/>
  <c r="EU16" i="4"/>
  <c r="IM16" i="4"/>
  <c r="BT16" i="4"/>
  <c r="EV16" i="4"/>
  <c r="IN16" i="4"/>
  <c r="IU15" i="4"/>
  <c r="GQ15" i="4"/>
  <c r="DW15" i="4"/>
  <c r="BT15" i="4"/>
  <c r="AF15" i="4"/>
  <c r="IR15" i="4"/>
  <c r="FW15" i="4"/>
  <c r="DU15" i="4"/>
  <c r="BR15" i="4"/>
  <c r="Q15" i="4"/>
  <c r="IQ15" i="4"/>
  <c r="FS15" i="4"/>
  <c r="DE15" i="4"/>
  <c r="BQ15" i="4"/>
  <c r="O15" i="4"/>
  <c r="HU15" i="4"/>
  <c r="FQ15" i="4"/>
  <c r="DC15" i="4"/>
  <c r="BB15" i="4"/>
  <c r="N15" i="4"/>
  <c r="GV15" i="4"/>
  <c r="ER15" i="4"/>
  <c r="CJ15" i="4"/>
  <c r="AJ15" i="4"/>
  <c r="HS15" i="4"/>
  <c r="CI15" i="4"/>
  <c r="HP15" i="4"/>
  <c r="AZ15" i="4"/>
  <c r="GR15" i="4"/>
  <c r="AY15" i="4"/>
  <c r="EV15" i="4"/>
  <c r="AG15" i="4"/>
  <c r="ES15" i="4"/>
  <c r="DY15" i="4"/>
  <c r="DA15" i="4"/>
  <c r="CM15" i="4"/>
  <c r="DI15" i="4"/>
  <c r="HJ15" i="4"/>
  <c r="EX15" i="4"/>
  <c r="CL15" i="4"/>
  <c r="Z15" i="4"/>
  <c r="HI15" i="4"/>
  <c r="EW15" i="4"/>
  <c r="GX15" i="4"/>
  <c r="EL15" i="4"/>
  <c r="GN15" i="4"/>
  <c r="CY15" i="4"/>
  <c r="AD15" i="4"/>
  <c r="GY15" i="4"/>
  <c r="DG15" i="4"/>
  <c r="AL15" i="4"/>
  <c r="GW15" i="4"/>
  <c r="DF15" i="4"/>
  <c r="AK15" i="4"/>
  <c r="GG15" i="4"/>
  <c r="CU15" i="4"/>
  <c r="Y15" i="4"/>
  <c r="DK15" i="4"/>
  <c r="CA15" i="4"/>
  <c r="FI15" i="4"/>
  <c r="DT15" i="4"/>
  <c r="FC15" i="4"/>
  <c r="GT15" i="4"/>
  <c r="EH15" i="4"/>
  <c r="BV15" i="4"/>
  <c r="J15" i="4"/>
  <c r="GS15" i="4"/>
  <c r="IT15" i="4"/>
  <c r="GH15" i="4"/>
  <c r="DV15" i="4"/>
  <c r="FO15" i="4"/>
  <c r="CG15" i="4"/>
  <c r="L15" i="4"/>
  <c r="FY15" i="4"/>
  <c r="CO15" i="4"/>
  <c r="T15" i="4"/>
  <c r="FX15" i="4"/>
  <c r="CN15" i="4"/>
  <c r="S15" i="4"/>
  <c r="FH15" i="4"/>
  <c r="CB15" i="4"/>
  <c r="FD15" i="4"/>
  <c r="IB15" i="4"/>
  <c r="DH15" i="4"/>
  <c r="IA15" i="4"/>
  <c r="FZ15" i="4"/>
  <c r="FE15" i="4"/>
  <c r="IG15" i="4"/>
  <c r="BN15" i="4"/>
  <c r="FF15" i="4"/>
  <c r="IH15" i="4"/>
  <c r="GB15" i="4"/>
  <c r="HT14" i="4"/>
  <c r="IP10" i="4"/>
  <c r="FN10" i="4"/>
  <c r="GS12" i="4"/>
  <c r="IK11" i="4"/>
  <c r="CG11" i="4"/>
  <c r="BD11" i="4"/>
  <c r="EN11" i="4"/>
  <c r="HP11" i="4"/>
  <c r="BF11" i="4"/>
  <c r="EP11" i="4"/>
  <c r="HR11" i="4"/>
  <c r="AY11" i="4"/>
  <c r="EI11" i="4"/>
  <c r="HK11" i="4"/>
  <c r="AR11" i="4"/>
  <c r="EB11" i="4"/>
  <c r="HD11" i="4"/>
  <c r="FK10" i="4"/>
  <c r="IY12" i="4"/>
  <c r="AU12" i="4"/>
  <c r="BM11" i="4"/>
  <c r="EQ10" i="4"/>
  <c r="FO12" i="4"/>
  <c r="GY11" i="4"/>
  <c r="DI10" i="4"/>
  <c r="FN12" i="4"/>
  <c r="HP10" i="4"/>
  <c r="DO12" i="4"/>
  <c r="BX12" i="4"/>
  <c r="HR12" i="4"/>
  <c r="BF12" i="4"/>
  <c r="GZ12" i="4"/>
  <c r="BS12" i="4"/>
  <c r="HK12" i="4"/>
  <c r="CD12" i="4"/>
  <c r="HL12" i="4"/>
  <c r="EC12" i="4"/>
  <c r="HM12" i="4"/>
  <c r="DV12" i="4"/>
  <c r="HN12" i="4"/>
  <c r="ED7" i="4"/>
  <c r="HB6" i="4"/>
  <c r="DB6" i="4"/>
  <c r="BY6" i="4"/>
  <c r="FQ6" i="4"/>
  <c r="GX6" i="4"/>
  <c r="AT7" i="4"/>
  <c r="DS6" i="4"/>
  <c r="BR7" i="4"/>
  <c r="EJ6" i="4"/>
  <c r="GI7" i="4"/>
  <c r="DI7" i="4"/>
  <c r="IG7" i="4"/>
  <c r="DJ7" i="4"/>
  <c r="IH7" i="4"/>
  <c r="CU7" i="4"/>
  <c r="HS7" i="4"/>
  <c r="CN7" i="4"/>
  <c r="HL7" i="4"/>
  <c r="HN7" i="4"/>
  <c r="IN6" i="4"/>
  <c r="CN6" i="4"/>
  <c r="CO7" i="4"/>
  <c r="ED8" i="4"/>
  <c r="IQ8" i="4"/>
  <c r="M8" i="4"/>
  <c r="AD8" i="4"/>
  <c r="AI8" i="4"/>
  <c r="AJ8" i="4"/>
  <c r="AE8" i="4"/>
  <c r="FH8" i="4"/>
  <c r="AV8" i="4"/>
  <c r="GA8" i="4"/>
  <c r="BU8" i="4"/>
  <c r="HD8" i="4"/>
  <c r="CL8" i="4"/>
  <c r="HW8" i="4"/>
  <c r="HR8" i="4"/>
  <c r="FP8" i="4"/>
  <c r="M22" i="3"/>
  <c r="L22" i="3" s="1"/>
  <c r="K22" i="5" s="1"/>
  <c r="GM26" i="4"/>
  <c r="CE26" i="4"/>
  <c r="HQ26" i="4"/>
  <c r="DC26" i="4"/>
  <c r="GJ26" i="4"/>
  <c r="CC26" i="4"/>
  <c r="EN26" i="4"/>
  <c r="AO26" i="4"/>
  <c r="FF26" i="4"/>
  <c r="IM28" i="4"/>
  <c r="EQ24" i="4"/>
  <c r="EO24" i="4"/>
  <c r="AM24" i="4"/>
  <c r="DG24" i="4"/>
  <c r="GB24" i="4"/>
  <c r="IW24" i="4"/>
  <c r="BO24" i="4"/>
  <c r="EJ24" i="4"/>
  <c r="HE24" i="4"/>
  <c r="AG24" i="4"/>
  <c r="CZ24" i="4"/>
  <c r="FU24" i="4"/>
  <c r="IQ24" i="4"/>
  <c r="BQ24" i="4"/>
  <c r="EL24" i="4"/>
  <c r="HG24" i="4"/>
  <c r="AA24" i="4"/>
  <c r="CS24" i="4"/>
  <c r="FO24" i="4"/>
  <c r="IJ24" i="4"/>
  <c r="BA24" i="4"/>
  <c r="DV24" i="4"/>
  <c r="GQ24" i="4"/>
  <c r="BF24" i="4"/>
  <c r="DR24" i="4"/>
  <c r="GD24" i="4"/>
  <c r="IP24" i="4"/>
  <c r="CW24" i="4"/>
  <c r="EX28" i="4"/>
  <c r="CI28" i="4"/>
  <c r="FV28" i="4"/>
  <c r="S28" i="4"/>
  <c r="DB28" i="4"/>
  <c r="BT28" i="4"/>
  <c r="GR28" i="4"/>
  <c r="BU28" i="4"/>
  <c r="GS28" i="4"/>
  <c r="IO10" i="4"/>
  <c r="HY10" i="4"/>
  <c r="HI10" i="4"/>
  <c r="GS10" i="4"/>
  <c r="GC10" i="4"/>
  <c r="FM10" i="4"/>
  <c r="EW10" i="4"/>
  <c r="EG10" i="4"/>
  <c r="DQ10" i="4"/>
  <c r="DA10" i="4"/>
  <c r="CK10" i="4"/>
  <c r="BV10" i="4"/>
  <c r="BK10" i="4"/>
  <c r="AW10" i="4"/>
  <c r="AI10" i="4"/>
  <c r="X10" i="4"/>
  <c r="J10" i="4"/>
  <c r="HX10" i="4"/>
  <c r="GE10" i="4"/>
  <c r="EM10" i="4"/>
  <c r="CZ10" i="4"/>
  <c r="BL10" i="4"/>
  <c r="Z10" i="4"/>
  <c r="HO10" i="4"/>
  <c r="GB10" i="4"/>
  <c r="EI10" i="4"/>
  <c r="CQ10" i="4"/>
  <c r="BG10" i="4"/>
  <c r="Y10" i="4"/>
  <c r="HK10" i="4"/>
  <c r="FS10" i="4"/>
  <c r="EF10" i="4"/>
  <c r="CM10" i="4"/>
  <c r="AY10" i="4"/>
  <c r="W10" i="4"/>
  <c r="IU10" i="4"/>
  <c r="HH10" i="4"/>
  <c r="FO10" i="4"/>
  <c r="DW10" i="4"/>
  <c r="CJ10" i="4"/>
  <c r="AX10" i="4"/>
  <c r="O10" i="4"/>
  <c r="IQ10" i="4"/>
  <c r="GY10" i="4"/>
  <c r="FL10" i="4"/>
  <c r="DS10" i="4"/>
  <c r="CA10" i="4"/>
  <c r="AV10" i="4"/>
  <c r="K10" i="4"/>
  <c r="IN10" i="4"/>
  <c r="GU10" i="4"/>
  <c r="FC10" i="4"/>
  <c r="DP10" i="4"/>
  <c r="BW10" i="4"/>
  <c r="AN10" i="4"/>
  <c r="GI10" i="4"/>
  <c r="AH10" i="4"/>
  <c r="EY10" i="4"/>
  <c r="EV10" i="4"/>
  <c r="DG10" i="4"/>
  <c r="DC10" i="4"/>
  <c r="IE10" i="4"/>
  <c r="BU10" i="4"/>
  <c r="IA10" i="4"/>
  <c r="BM10" i="4"/>
  <c r="GR10" i="4"/>
  <c r="AM10" i="4"/>
  <c r="AO10" i="4"/>
  <c r="FD10" i="4"/>
  <c r="AP10" i="4"/>
  <c r="FE10" i="4"/>
  <c r="CE10" i="4"/>
  <c r="HC10" i="4"/>
  <c r="BC10" i="4"/>
  <c r="FT10" i="4"/>
  <c r="BD10" i="4"/>
  <c r="FU10" i="4"/>
  <c r="CU10" i="4"/>
  <c r="HS10" i="4"/>
  <c r="AG10" i="4"/>
  <c r="EU10" i="4"/>
  <c r="EH10" i="4"/>
  <c r="GT10" i="4"/>
  <c r="T10" i="4"/>
  <c r="CF10" i="4"/>
  <c r="ER10" i="4"/>
  <c r="HD10" i="4"/>
  <c r="U10" i="4"/>
  <c r="CG10" i="4"/>
  <c r="ES10" i="4"/>
  <c r="HE10" i="4"/>
  <c r="AT10" i="4"/>
  <c r="DF10" i="4"/>
  <c r="FR10" i="4"/>
  <c r="ID10" i="4"/>
  <c r="CT10" i="4"/>
  <c r="CB10" i="4"/>
  <c r="GZ10" i="4"/>
  <c r="CC10" i="4"/>
  <c r="HA10" i="4"/>
  <c r="R10" i="4"/>
  <c r="EA10" i="4"/>
  <c r="IY10" i="4"/>
  <c r="BF10" i="4"/>
  <c r="GA10" i="4"/>
  <c r="EX10" i="4"/>
  <c r="HJ10" i="4"/>
  <c r="AH16" i="4"/>
  <c r="GD16" i="4"/>
  <c r="CK16" i="4"/>
  <c r="ID16" i="4"/>
  <c r="DY16" i="4"/>
  <c r="AO16" i="4"/>
  <c r="FV16" i="4"/>
  <c r="FO16" i="4"/>
  <c r="IY16" i="4"/>
  <c r="BX16" i="4"/>
  <c r="FH16" i="4"/>
  <c r="IR16" i="4"/>
  <c r="CA16" i="4"/>
  <c r="FK16" i="4"/>
  <c r="IU16" i="4"/>
  <c r="CB16" i="4"/>
  <c r="FL16" i="4"/>
  <c r="IV16" i="4"/>
  <c r="GO16" i="4"/>
  <c r="IH10" i="4"/>
  <c r="FF10" i="4"/>
  <c r="HU11" i="4"/>
  <c r="BQ11" i="4"/>
  <c r="BT11" i="4"/>
  <c r="EV11" i="4"/>
  <c r="HX11" i="4"/>
  <c r="BV11" i="4"/>
  <c r="EX11" i="4"/>
  <c r="HZ11" i="4"/>
  <c r="BO11" i="4"/>
  <c r="EQ11" i="4"/>
  <c r="HS11" i="4"/>
  <c r="BH11" i="4"/>
  <c r="EJ11" i="4"/>
  <c r="HL11" i="4"/>
  <c r="EE10" i="4"/>
  <c r="AW11" i="4"/>
  <c r="DK10" i="4"/>
  <c r="FC11" i="4"/>
  <c r="CS10" i="4"/>
  <c r="GJ10" i="4"/>
  <c r="CD10" i="4"/>
  <c r="IB12" i="4"/>
  <c r="BP12" i="4"/>
  <c r="HJ12" i="4"/>
  <c r="CM12" i="4"/>
  <c r="HW12" i="4"/>
  <c r="DJ12" i="4"/>
  <c r="HX12" i="4"/>
  <c r="EK12" i="4"/>
  <c r="IC12" i="4"/>
  <c r="ED12" i="4"/>
  <c r="IL12" i="4"/>
  <c r="DN7" i="4"/>
  <c r="GR6" i="4"/>
  <c r="CJ6" i="4"/>
  <c r="CG6" i="4"/>
  <c r="GO6" i="4"/>
  <c r="HV6" i="4"/>
  <c r="IK7" i="4"/>
  <c r="CR6" i="4"/>
  <c r="IW11" i="4"/>
  <c r="AE7" i="4"/>
  <c r="CZ6" i="4"/>
  <c r="FS7" i="4"/>
  <c r="DQ7" i="4"/>
  <c r="IO7" i="4"/>
  <c r="DR7" i="4"/>
  <c r="IP7" i="4"/>
  <c r="DC7" i="4"/>
  <c r="IA7" i="4"/>
  <c r="CV7" i="4"/>
  <c r="HT7" i="4"/>
  <c r="FR7" i="4"/>
  <c r="HH6" i="4"/>
  <c r="BM6" i="4"/>
  <c r="BZ7" i="4"/>
  <c r="F12" i="4"/>
  <c r="AA8" i="4"/>
  <c r="AR8" i="4"/>
  <c r="BI8" i="4"/>
  <c r="BZ8" i="4"/>
  <c r="CE8" i="4"/>
  <c r="AZ8" i="4"/>
  <c r="AM8" i="4"/>
  <c r="FQ8" i="4"/>
  <c r="BD8" i="4"/>
  <c r="GJ8" i="4"/>
  <c r="CC8" i="4"/>
  <c r="HM8" i="4"/>
  <c r="CT8" i="4"/>
  <c r="IF8" i="4"/>
  <c r="HZ8" i="4"/>
  <c r="IT7" i="4"/>
  <c r="HU16" i="4"/>
  <c r="DE24" i="4"/>
  <c r="AU24" i="4"/>
  <c r="DP24" i="4"/>
  <c r="GK24" i="4"/>
  <c r="BX24" i="4"/>
  <c r="ES24" i="4"/>
  <c r="HN24" i="4"/>
  <c r="AO24" i="4"/>
  <c r="DI24" i="4"/>
  <c r="GE24" i="4"/>
  <c r="J24" i="4"/>
  <c r="BZ24" i="4"/>
  <c r="EU24" i="4"/>
  <c r="HP24" i="4"/>
  <c r="AI24" i="4"/>
  <c r="DC24" i="4"/>
  <c r="FX24" i="4"/>
  <c r="IS24" i="4"/>
  <c r="BJ24" i="4"/>
  <c r="EE24" i="4"/>
  <c r="GZ24" i="4"/>
  <c r="BN24" i="4"/>
  <c r="DZ24" i="4"/>
  <c r="GL24" i="4"/>
  <c r="IX24" i="4"/>
  <c r="BL24" i="4"/>
  <c r="AM28" i="4"/>
  <c r="DZ28" i="4"/>
  <c r="HJ28" i="4"/>
  <c r="BF28" i="4"/>
  <c r="EU28" i="4"/>
  <c r="CJ28" i="4"/>
  <c r="HH28" i="4"/>
  <c r="CK28" i="4"/>
  <c r="HI28" i="4"/>
  <c r="BV20" i="4"/>
  <c r="EP20" i="4"/>
  <c r="HJ20" i="4"/>
  <c r="AA20" i="4"/>
  <c r="CU20" i="4"/>
  <c r="FO20" i="4"/>
  <c r="IQ20" i="4"/>
  <c r="CK13" i="4"/>
  <c r="FS13" i="4"/>
  <c r="CB13" i="4"/>
  <c r="FJ13" i="4"/>
  <c r="BX13" i="4"/>
  <c r="ER13" i="4"/>
  <c r="HL13" i="4"/>
  <c r="HE13" i="4"/>
  <c r="HU10" i="4"/>
  <c r="FA10" i="4"/>
  <c r="BY10" i="4"/>
  <c r="GS16" i="4"/>
  <c r="EV13" i="4"/>
  <c r="BD13" i="4"/>
  <c r="HL10" i="4"/>
  <c r="EJ10" i="4"/>
  <c r="BP10" i="4"/>
  <c r="HV16" i="4"/>
  <c r="AT16" i="4"/>
  <c r="HJ16" i="4"/>
  <c r="CW16" i="4"/>
  <c r="IT16" i="4"/>
  <c r="FE16" i="4"/>
  <c r="BA16" i="4"/>
  <c r="GL16" i="4"/>
  <c r="GE16" i="4"/>
  <c r="CF16" i="4"/>
  <c r="FX16" i="4"/>
  <c r="CI16" i="4"/>
  <c r="GA16" i="4"/>
  <c r="CJ16" i="4"/>
  <c r="GB16" i="4"/>
  <c r="FU15" i="4"/>
  <c r="IW15" i="4"/>
  <c r="CT15" i="4"/>
  <c r="FV15" i="4"/>
  <c r="IX15" i="4"/>
  <c r="FI16" i="4"/>
  <c r="CQ15" i="4"/>
  <c r="IM13" i="4"/>
  <c r="HZ10" i="4"/>
  <c r="EP10" i="4"/>
  <c r="EG12" i="4"/>
  <c r="HE11" i="4"/>
  <c r="AK11" i="4"/>
  <c r="CB11" i="4"/>
  <c r="FD11" i="4"/>
  <c r="IN11" i="4"/>
  <c r="CD11" i="4"/>
  <c r="FF11" i="4"/>
  <c r="IP11" i="4"/>
  <c r="BW11" i="4"/>
  <c r="EY11" i="4"/>
  <c r="II11" i="4"/>
  <c r="BP11" i="4"/>
  <c r="ER11" i="4"/>
  <c r="IB11" i="4"/>
  <c r="DO10" i="4"/>
  <c r="HI12" i="4"/>
  <c r="IG11" i="4"/>
  <c r="BS10" i="4"/>
  <c r="DY12" i="4"/>
  <c r="IW10" i="4"/>
  <c r="BO10" i="4"/>
  <c r="DX12" i="4"/>
  <c r="EN10" i="4"/>
  <c r="CL10" i="4"/>
  <c r="AK12" i="4"/>
  <c r="DD12" i="4"/>
  <c r="IN12" i="4"/>
  <c r="CL12" i="4"/>
  <c r="HT12" i="4"/>
  <c r="DS12" i="4"/>
  <c r="IG12" i="4"/>
  <c r="DT12" i="4"/>
  <c r="IR12" i="4"/>
  <c r="ES12" i="4"/>
  <c r="BB12" i="4"/>
  <c r="EL12" i="4"/>
  <c r="IT12" i="4"/>
  <c r="CH7" i="4"/>
  <c r="GF6" i="4"/>
  <c r="BI6" i="4"/>
  <c r="CO6" i="4"/>
  <c r="GW6" i="4"/>
  <c r="IT6" i="4"/>
  <c r="K34" i="3"/>
  <c r="J34" i="5" s="1"/>
  <c r="HU7" i="4"/>
  <c r="IG6" i="4"/>
  <c r="CI6" i="4"/>
  <c r="IV7" i="4"/>
  <c r="Q7" i="4"/>
  <c r="CQ6" i="4"/>
  <c r="DW7" i="4"/>
  <c r="EO7" i="4"/>
  <c r="R7" i="4"/>
  <c r="EP7" i="4"/>
  <c r="DK7" i="4"/>
  <c r="II7" i="4"/>
  <c r="DD7" i="4"/>
  <c r="IB7" i="4"/>
  <c r="FB7" i="4"/>
  <c r="GV6" i="4"/>
  <c r="BW8" i="4"/>
  <c r="CN8" i="4"/>
  <c r="DE8" i="4"/>
  <c r="DV8" i="4"/>
  <c r="EB8" i="4"/>
  <c r="CV8" i="4"/>
  <c r="BK8" i="4"/>
  <c r="GR8" i="4"/>
  <c r="CB8" i="4"/>
  <c r="HL8" i="4"/>
  <c r="DA8" i="4"/>
  <c r="IN8" i="4"/>
  <c r="DR8" i="4"/>
  <c r="DZ8" i="4"/>
  <c r="IX8" i="4"/>
  <c r="EM11" i="4"/>
  <c r="DW11" i="4"/>
  <c r="DG11" i="4"/>
  <c r="CQ11" i="4"/>
  <c r="CA11" i="4"/>
  <c r="BK11" i="4"/>
  <c r="AU11" i="4"/>
  <c r="AE11" i="4"/>
  <c r="O11" i="4"/>
  <c r="IT11" i="4"/>
  <c r="ID11" i="4"/>
  <c r="HN11" i="4"/>
  <c r="GX11" i="4"/>
  <c r="GH11" i="4"/>
  <c r="FR11" i="4"/>
  <c r="FB11" i="4"/>
  <c r="EL11" i="4"/>
  <c r="DV11" i="4"/>
  <c r="DF11" i="4"/>
  <c r="CP11" i="4"/>
  <c r="BZ11" i="4"/>
  <c r="BJ11" i="4"/>
  <c r="AT11" i="4"/>
  <c r="AD11" i="4"/>
  <c r="N11" i="4"/>
  <c r="IM11" i="4"/>
  <c r="HW11" i="4"/>
  <c r="HG11" i="4"/>
  <c r="GQ11" i="4"/>
  <c r="GA11" i="4"/>
  <c r="FK11" i="4"/>
  <c r="EU11" i="4"/>
  <c r="EE11" i="4"/>
  <c r="DO11" i="4"/>
  <c r="CY11" i="4"/>
  <c r="CI11" i="4"/>
  <c r="BS11" i="4"/>
  <c r="BC11" i="4"/>
  <c r="AM11" i="4"/>
  <c r="W11" i="4"/>
  <c r="HM11" i="4"/>
  <c r="FZ11" i="4"/>
  <c r="EG11" i="4"/>
  <c r="CO11" i="4"/>
  <c r="BB11" i="4"/>
  <c r="HI11" i="4"/>
  <c r="FQ11" i="4"/>
  <c r="ED11" i="4"/>
  <c r="CK11" i="4"/>
  <c r="AS11" i="4"/>
  <c r="IS11" i="4"/>
  <c r="HF11" i="4"/>
  <c r="FM11" i="4"/>
  <c r="DU11" i="4"/>
  <c r="CH11" i="4"/>
  <c r="AO11" i="4"/>
  <c r="IO11" i="4"/>
  <c r="GW11" i="4"/>
  <c r="FJ11" i="4"/>
  <c r="DQ11" i="4"/>
  <c r="BY11" i="4"/>
  <c r="AL11" i="4"/>
  <c r="IL11" i="4"/>
  <c r="GS11" i="4"/>
  <c r="FA11" i="4"/>
  <c r="DN11" i="4"/>
  <c r="BU11" i="4"/>
  <c r="AC11" i="4"/>
  <c r="IC11" i="4"/>
  <c r="GP11" i="4"/>
  <c r="EW11" i="4"/>
  <c r="DE11" i="4"/>
  <c r="BR11" i="4"/>
  <c r="Y11" i="4"/>
  <c r="HY11" i="4"/>
  <c r="BI11" i="4"/>
  <c r="HV11" i="4"/>
  <c r="BE11" i="4"/>
  <c r="GG11" i="4"/>
  <c r="V11" i="4"/>
  <c r="GC11" i="4"/>
  <c r="M11" i="4"/>
  <c r="ET11" i="4"/>
  <c r="EK11" i="4"/>
  <c r="DA11" i="4"/>
  <c r="CX11" i="4"/>
  <c r="FS11" i="4"/>
  <c r="CC11" i="4"/>
  <c r="HA11" i="4"/>
  <c r="GI11" i="4"/>
  <c r="CS11" i="4"/>
  <c r="HQ11" i="4"/>
  <c r="IJ11" i="4"/>
  <c r="FX11" i="4"/>
  <c r="DL11" i="4"/>
  <c r="AZ11" i="4"/>
  <c r="IQ11" i="4"/>
  <c r="GE11" i="4"/>
  <c r="DS11" i="4"/>
  <c r="BG11" i="4"/>
  <c r="IX11" i="4"/>
  <c r="GL11" i="4"/>
  <c r="DZ11" i="4"/>
  <c r="BN11" i="4"/>
  <c r="IV11" i="4"/>
  <c r="GJ11" i="4"/>
  <c r="DX11" i="4"/>
  <c r="BL11" i="4"/>
  <c r="U11" i="4"/>
  <c r="ES11" i="4"/>
  <c r="HO11" i="4"/>
  <c r="DY11" i="4"/>
  <c r="HT11" i="4"/>
  <c r="FH11" i="4"/>
  <c r="CV11" i="4"/>
  <c r="AJ11" i="4"/>
  <c r="IA11" i="4"/>
  <c r="FO11" i="4"/>
  <c r="DC11" i="4"/>
  <c r="AQ11" i="4"/>
  <c r="IH11" i="4"/>
  <c r="FV11" i="4"/>
  <c r="DJ11" i="4"/>
  <c r="AX11" i="4"/>
  <c r="IF11" i="4"/>
  <c r="FT11" i="4"/>
  <c r="DH11" i="4"/>
  <c r="AV11" i="4"/>
  <c r="BA11" i="4"/>
  <c r="FY11" i="4"/>
  <c r="CE11" i="4"/>
  <c r="FG11" i="4"/>
  <c r="IY11" i="4"/>
  <c r="BX11" i="4"/>
  <c r="EZ11" i="4"/>
  <c r="IR11" i="4"/>
  <c r="GK11" i="4"/>
  <c r="Q11" i="4"/>
  <c r="K20" i="3"/>
  <c r="J20" i="5" s="1"/>
  <c r="K26" i="3"/>
  <c r="J26" i="5" s="1"/>
  <c r="GT7" i="4"/>
  <c r="EH7" i="4"/>
  <c r="BV7" i="4"/>
  <c r="J7" i="4"/>
  <c r="GS7" i="4"/>
  <c r="EG7" i="4"/>
  <c r="AD7" i="4"/>
  <c r="EM7" i="4"/>
  <c r="CC7" i="4"/>
  <c r="GZ7" i="4"/>
  <c r="BE7" i="4"/>
  <c r="FY7" i="4"/>
  <c r="CX7" i="4"/>
  <c r="HV7" i="4"/>
  <c r="BA7" i="4"/>
  <c r="FQ7" i="4"/>
  <c r="O7" i="4"/>
  <c r="DV7" i="4"/>
  <c r="IJ7" i="4"/>
  <c r="FX7" i="4"/>
  <c r="DL7" i="4"/>
  <c r="AZ7" i="4"/>
  <c r="IQ7" i="4"/>
  <c r="GE7" i="4"/>
  <c r="DS7" i="4"/>
  <c r="BG7" i="4"/>
  <c r="IX7" i="4"/>
  <c r="GL7" i="4"/>
  <c r="DZ7" i="4"/>
  <c r="BN7" i="4"/>
  <c r="IW7" i="4"/>
  <c r="GK7" i="4"/>
  <c r="DY7" i="4"/>
  <c r="AO7" i="4"/>
  <c r="FC7" i="4"/>
  <c r="CR7" i="4"/>
  <c r="HP7" i="4"/>
  <c r="BS7" i="4"/>
  <c r="GO7" i="4"/>
  <c r="EB7" i="4"/>
  <c r="F6" i="4"/>
  <c r="BP6" i="4"/>
  <c r="EL6" i="4"/>
  <c r="HK6" i="4"/>
  <c r="HF6" i="4"/>
  <c r="EL7" i="4"/>
  <c r="GL6" i="4"/>
  <c r="AW6" i="4"/>
  <c r="M17" i="3"/>
  <c r="L17" i="3" s="1"/>
  <c r="K17" i="5" s="1"/>
  <c r="Y7" i="4"/>
  <c r="M11" i="3"/>
  <c r="L11" i="3" s="1"/>
  <c r="K11" i="5" s="1"/>
  <c r="M23" i="3"/>
  <c r="L23" i="3" s="1"/>
  <c r="K23" i="5" s="1"/>
  <c r="IO6" i="4"/>
  <c r="IE6" i="4"/>
  <c r="HS6" i="4"/>
  <c r="HI6" i="4"/>
  <c r="GY6" i="4"/>
  <c r="GM6" i="4"/>
  <c r="GC6" i="4"/>
  <c r="FT6" i="4"/>
  <c r="FK6" i="4"/>
  <c r="FB6" i="4"/>
  <c r="ER6" i="4"/>
  <c r="EI6" i="4"/>
  <c r="DZ6" i="4"/>
  <c r="DQ6" i="4"/>
  <c r="DH6" i="4"/>
  <c r="CY6" i="4"/>
  <c r="CP6" i="4"/>
  <c r="CF6" i="4"/>
  <c r="BW6" i="4"/>
  <c r="BN6" i="4"/>
  <c r="BF6" i="4"/>
  <c r="AX6" i="4"/>
  <c r="AP6" i="4"/>
  <c r="AH6" i="4"/>
  <c r="Z6" i="4"/>
  <c r="R6" i="4"/>
  <c r="J6" i="4"/>
  <c r="IX6" i="4"/>
  <c r="IM6" i="4"/>
  <c r="IA6" i="4"/>
  <c r="HQ6" i="4"/>
  <c r="HG6" i="4"/>
  <c r="GU6" i="4"/>
  <c r="GK6" i="4"/>
  <c r="GA6" i="4"/>
  <c r="FR6" i="4"/>
  <c r="FH6" i="4"/>
  <c r="EY6" i="4"/>
  <c r="EP6" i="4"/>
  <c r="EG6" i="4"/>
  <c r="DX6" i="4"/>
  <c r="DO6" i="4"/>
  <c r="DF6" i="4"/>
  <c r="CV6" i="4"/>
  <c r="CM6" i="4"/>
  <c r="CD6" i="4"/>
  <c r="BU6" i="4"/>
  <c r="BL6" i="4"/>
  <c r="BD6" i="4"/>
  <c r="AV6" i="4"/>
  <c r="AN6" i="4"/>
  <c r="AF6" i="4"/>
  <c r="X6" i="4"/>
  <c r="P6" i="4"/>
  <c r="HZ6" i="4"/>
  <c r="GJ6" i="4"/>
  <c r="EX6" i="4"/>
  <c r="DN6" i="4"/>
  <c r="CC6" i="4"/>
  <c r="AU6" i="4"/>
  <c r="O6" i="4"/>
  <c r="HY6" i="4"/>
  <c r="GI6" i="4"/>
  <c r="EW6" i="4"/>
  <c r="DL6" i="4"/>
  <c r="CB6" i="4"/>
  <c r="AT6" i="4"/>
  <c r="N6" i="4"/>
  <c r="HP6" i="4"/>
  <c r="FZ6" i="4"/>
  <c r="EO6" i="4"/>
  <c r="DD6" i="4"/>
  <c r="BT6" i="4"/>
  <c r="AM6" i="4"/>
  <c r="HO6" i="4"/>
  <c r="FX6" i="4"/>
  <c r="EN6" i="4"/>
  <c r="DC6" i="4"/>
  <c r="BS6" i="4"/>
  <c r="AL6" i="4"/>
  <c r="IW6" i="4"/>
  <c r="HD6" i="4"/>
  <c r="FP6" i="4"/>
  <c r="EF6" i="4"/>
  <c r="CU6" i="4"/>
  <c r="BK6" i="4"/>
  <c r="AE6" i="4"/>
  <c r="IV6" i="4"/>
  <c r="HC6" i="4"/>
  <c r="FO6" i="4"/>
  <c r="EE6" i="4"/>
  <c r="CT6" i="4"/>
  <c r="BJ6" i="4"/>
  <c r="AD6" i="4"/>
  <c r="IJ6" i="4"/>
  <c r="GT6" i="4"/>
  <c r="FG6" i="4"/>
  <c r="DW6" i="4"/>
  <c r="CL6" i="4"/>
  <c r="BC6" i="4"/>
  <c r="W6" i="4"/>
  <c r="II6" i="4"/>
  <c r="GS6" i="4"/>
  <c r="FF6" i="4"/>
  <c r="DV6" i="4"/>
  <c r="CK6" i="4"/>
  <c r="BB6" i="4"/>
  <c r="V6" i="4"/>
  <c r="IF6" i="4"/>
  <c r="FC6" i="4"/>
  <c r="BX6" i="4"/>
  <c r="K6" i="4"/>
  <c r="GB6" i="4"/>
  <c r="DG6" i="4"/>
  <c r="AO6" i="4"/>
  <c r="H7" i="4"/>
  <c r="N7" i="3" s="1"/>
  <c r="IU6" i="4"/>
  <c r="FN6" i="4"/>
  <c r="CS6" i="4"/>
  <c r="AC6" i="4"/>
  <c r="CW6" i="4"/>
  <c r="FI6" i="4"/>
  <c r="HU6" i="4"/>
  <c r="HN6" i="4"/>
  <c r="H29" i="4"/>
  <c r="HA6" i="4"/>
  <c r="EB6" i="4"/>
  <c r="BH6" i="4"/>
  <c r="F13" i="4"/>
  <c r="HT6" i="4"/>
  <c r="ET6" i="4"/>
  <c r="BO6" i="4"/>
  <c r="H18" i="4"/>
  <c r="M9" i="3"/>
  <c r="L9" i="3" s="1"/>
  <c r="K9" i="5" s="1"/>
  <c r="GQ7" i="4"/>
  <c r="EE7" i="4"/>
  <c r="BU7" i="4"/>
  <c r="W7" i="4"/>
  <c r="IN7" i="4"/>
  <c r="GB7" i="4"/>
  <c r="DP7" i="4"/>
  <c r="BK7" i="4"/>
  <c r="M7" i="4"/>
  <c r="IM7" i="4"/>
  <c r="GA7" i="4"/>
  <c r="DO7" i="4"/>
  <c r="BJ7" i="4"/>
  <c r="HX7" i="4"/>
  <c r="FL7" i="4"/>
  <c r="CZ7" i="4"/>
  <c r="AW7" i="4"/>
  <c r="HW7" i="4"/>
  <c r="FK7" i="4"/>
  <c r="CY7" i="4"/>
  <c r="AV7" i="4"/>
  <c r="HH7" i="4"/>
  <c r="EV7" i="4"/>
  <c r="CJ7" i="4"/>
  <c r="AL7" i="4"/>
  <c r="HG7" i="4"/>
  <c r="EU7" i="4"/>
  <c r="CI7" i="4"/>
  <c r="AK7" i="4"/>
  <c r="GR7" i="4"/>
  <c r="EF7" i="4"/>
  <c r="BY7" i="4"/>
  <c r="X7" i="4"/>
  <c r="BO7" i="4"/>
  <c r="EA7" i="4"/>
  <c r="GM7" i="4"/>
  <c r="IY7" i="4"/>
  <c r="BH7" i="4"/>
  <c r="DT7" i="4"/>
  <c r="GF7" i="4"/>
  <c r="IR7" i="4"/>
  <c r="ID7" i="4"/>
  <c r="DF7" i="4"/>
  <c r="IY6" i="4"/>
  <c r="FS6" i="4"/>
  <c r="CX6" i="4"/>
  <c r="AG6" i="4"/>
  <c r="FA7" i="4"/>
  <c r="AM7" i="4"/>
  <c r="GY9" i="4"/>
  <c r="DK9" i="4"/>
  <c r="AP9" i="4"/>
  <c r="FV9" i="4"/>
  <c r="CS9" i="4"/>
  <c r="W9" i="4"/>
  <c r="ES9" i="4"/>
  <c r="GO9" i="4"/>
  <c r="AH9" i="4"/>
  <c r="DC9" i="4"/>
  <c r="FX9" i="4"/>
  <c r="Q9" i="4"/>
  <c r="CL9" i="4"/>
  <c r="FG9" i="4"/>
  <c r="IQ9" i="4"/>
  <c r="CD9" i="4"/>
  <c r="EY9" i="4"/>
  <c r="IG9" i="4"/>
  <c r="BM9" i="4"/>
  <c r="EH9" i="4"/>
  <c r="HI9" i="4"/>
  <c r="HF9" i="4"/>
  <c r="IE9" i="4"/>
  <c r="AV9" i="4"/>
  <c r="DH9" i="4"/>
  <c r="FT9" i="4"/>
  <c r="IF9" i="4"/>
  <c r="H24" i="4"/>
  <c r="N24" i="3" s="1"/>
  <c r="F17" i="4"/>
  <c r="H17" i="4" s="1"/>
  <c r="HM17" i="4"/>
  <c r="FO17" i="4"/>
  <c r="DX17" i="4"/>
  <c r="CI17" i="4"/>
  <c r="AQ17" i="4"/>
  <c r="IN17" i="4"/>
  <c r="DG17" i="4"/>
  <c r="GV17" i="4"/>
  <c r="DC17" i="4"/>
  <c r="GP17" i="4"/>
  <c r="BT17" i="4"/>
  <c r="GM17" i="4"/>
  <c r="BO17" i="4"/>
  <c r="EU17" i="4"/>
  <c r="X17" i="4"/>
  <c r="FC17" i="4"/>
  <c r="EV17" i="4"/>
  <c r="DK17" i="4"/>
  <c r="BL17" i="4"/>
  <c r="AE17" i="4"/>
  <c r="W17" i="4"/>
  <c r="IN13" i="4"/>
  <c r="HZ13" i="4"/>
  <c r="HO13" i="4"/>
  <c r="HA13" i="4"/>
  <c r="GP13" i="4"/>
  <c r="GB13" i="4"/>
  <c r="FQ13" i="4"/>
  <c r="FE13" i="4"/>
  <c r="EU13" i="4"/>
  <c r="EK13" i="4"/>
  <c r="DY13" i="4"/>
  <c r="DO13" i="4"/>
  <c r="DE13" i="4"/>
  <c r="CS13" i="4"/>
  <c r="CI13" i="4"/>
  <c r="BY13" i="4"/>
  <c r="FD13" i="4"/>
  <c r="ET13" i="4"/>
  <c r="EH13" i="4"/>
  <c r="DX13" i="4"/>
  <c r="DN13" i="4"/>
  <c r="DB13" i="4"/>
  <c r="CR13" i="4"/>
  <c r="CH13" i="4"/>
  <c r="BV13" i="4"/>
  <c r="BL13" i="4"/>
  <c r="BB13" i="4"/>
  <c r="AP13" i="4"/>
  <c r="AF13" i="4"/>
  <c r="V13" i="4"/>
  <c r="J13" i="4"/>
  <c r="IL13" i="4"/>
  <c r="HH13" i="4"/>
  <c r="FV13" i="4"/>
  <c r="ES13" i="4"/>
  <c r="DU13" i="4"/>
  <c r="CP13" i="4"/>
  <c r="BM13" i="4"/>
  <c r="AS13" i="4"/>
  <c r="W13" i="4"/>
  <c r="IH13" i="4"/>
  <c r="GY13" i="4"/>
  <c r="FU13" i="4"/>
  <c r="EP13" i="4"/>
  <c r="DM13" i="4"/>
  <c r="CO13" i="4"/>
  <c r="BK13" i="4"/>
  <c r="AO13" i="4"/>
  <c r="U13" i="4"/>
  <c r="IG13" i="4"/>
  <c r="GX13" i="4"/>
  <c r="FM13" i="4"/>
  <c r="EO13" i="4"/>
  <c r="DJ13" i="4"/>
  <c r="CG13" i="4"/>
  <c r="BJ13" i="4"/>
  <c r="AN13" i="4"/>
  <c r="R13" i="4"/>
  <c r="HX13" i="4"/>
  <c r="GT13" i="4"/>
  <c r="FL13" i="4"/>
  <c r="EG13" i="4"/>
  <c r="DI13" i="4"/>
  <c r="CD13" i="4"/>
  <c r="BI13" i="4"/>
  <c r="AM13" i="4"/>
  <c r="Q13" i="4"/>
  <c r="IV13" i="4"/>
  <c r="HJ13" i="4"/>
  <c r="GI13" i="4"/>
  <c r="FB13" i="4"/>
  <c r="DW13" i="4"/>
  <c r="CY13" i="4"/>
  <c r="BT13" i="4"/>
  <c r="AX13" i="4"/>
  <c r="AD13" i="4"/>
  <c r="GK13" i="4"/>
  <c r="DV13" i="4"/>
  <c r="BA13" i="4"/>
  <c r="GJ13" i="4"/>
  <c r="DA13" i="4"/>
  <c r="AW13" i="4"/>
  <c r="FZ13" i="4"/>
  <c r="CZ13" i="4"/>
  <c r="AG13" i="4"/>
  <c r="IW13" i="4"/>
  <c r="FK13" i="4"/>
  <c r="CQ13" i="4"/>
  <c r="AE13" i="4"/>
  <c r="IU13" i="4"/>
  <c r="FC13" i="4"/>
  <c r="CC13" i="4"/>
  <c r="AC13" i="4"/>
  <c r="HW13" i="4"/>
  <c r="FA13" i="4"/>
  <c r="BU13" i="4"/>
  <c r="M13" i="4"/>
  <c r="BC13" i="4"/>
  <c r="HV13" i="4"/>
  <c r="HI13" i="4"/>
  <c r="EF13" i="4"/>
  <c r="EE13" i="4"/>
  <c r="BS13" i="4"/>
  <c r="BO13" i="4"/>
  <c r="EA13" i="4"/>
  <c r="GM13" i="4"/>
  <c r="IY13" i="4"/>
  <c r="BH13" i="4"/>
  <c r="DT13" i="4"/>
  <c r="GF13" i="4"/>
  <c r="IR13" i="4"/>
  <c r="IC13" i="4"/>
  <c r="HB13" i="4"/>
  <c r="DP13" i="4"/>
  <c r="AH13" i="4"/>
  <c r="FN13" i="4"/>
  <c r="GP7" i="4"/>
  <c r="BT7" i="4"/>
  <c r="HX6" i="4"/>
  <c r="EV6" i="4"/>
  <c r="CA6" i="4"/>
  <c r="M6" i="4"/>
  <c r="DM6" i="4"/>
  <c r="FY6" i="4"/>
  <c r="IK6" i="4"/>
  <c r="ID6" i="4"/>
  <c r="ES7" i="4"/>
  <c r="AF7" i="4"/>
  <c r="GE6" i="4"/>
  <c r="DJ6" i="4"/>
  <c r="AR6" i="4"/>
  <c r="FT7" i="4"/>
  <c r="BD7" i="4"/>
  <c r="GZ6" i="4"/>
  <c r="EA6" i="4"/>
  <c r="AY6" i="4"/>
  <c r="IC5" i="4"/>
  <c r="FQ5" i="4"/>
  <c r="DE5" i="4"/>
  <c r="AS5" i="4"/>
  <c r="IE7" i="4"/>
  <c r="DG7" i="4"/>
  <c r="CK7" i="4"/>
  <c r="EW7" i="4"/>
  <c r="HI7" i="4"/>
  <c r="Z7" i="4"/>
  <c r="CL7" i="4"/>
  <c r="EX7" i="4"/>
  <c r="HJ7" i="4"/>
  <c r="S7" i="4"/>
  <c r="CE7" i="4"/>
  <c r="EQ7" i="4"/>
  <c r="HC7" i="4"/>
  <c r="L7" i="4"/>
  <c r="BX7" i="4"/>
  <c r="EJ7" i="4"/>
  <c r="GV7" i="4"/>
  <c r="GX7" i="4"/>
  <c r="CA7" i="4"/>
  <c r="IB6" i="4"/>
  <c r="EZ6" i="4"/>
  <c r="CE6" i="4"/>
  <c r="Q6" i="4"/>
  <c r="GU5" i="4"/>
  <c r="EI5" i="4"/>
  <c r="BW5" i="4"/>
  <c r="IS7" i="4"/>
  <c r="DU7" i="4"/>
  <c r="N7" i="4"/>
  <c r="FS9" i="4"/>
  <c r="EU9" i="4"/>
  <c r="DQ9" i="4"/>
  <c r="AW9" i="4"/>
  <c r="HC9" i="4"/>
  <c r="DS9" i="4"/>
  <c r="AY9" i="4"/>
  <c r="HL9" i="4"/>
  <c r="DZ9" i="4"/>
  <c r="AM9" i="4"/>
  <c r="GQ9" i="4"/>
  <c r="HK9" i="4"/>
  <c r="AZ9" i="4"/>
  <c r="DU9" i="4"/>
  <c r="GT9" i="4"/>
  <c r="AI9" i="4"/>
  <c r="DD9" i="4"/>
  <c r="FY9" i="4"/>
  <c r="AA9" i="4"/>
  <c r="CV9" i="4"/>
  <c r="FQ9" i="4"/>
  <c r="J9" i="4"/>
  <c r="CE9" i="4"/>
  <c r="EZ9" i="4"/>
  <c r="IH9" i="4"/>
  <c r="HV9" i="4"/>
  <c r="IU9" i="4"/>
  <c r="BL9" i="4"/>
  <c r="DX9" i="4"/>
  <c r="GJ9" i="4"/>
  <c r="IV9" i="4"/>
  <c r="IA9" i="4"/>
  <c r="EB9" i="4"/>
  <c r="ET9" i="4"/>
  <c r="FZ7" i="4"/>
  <c r="BI7" i="4"/>
  <c r="HL6" i="4"/>
  <c r="EM6" i="4"/>
  <c r="BR6" i="4"/>
  <c r="IR6" i="4"/>
  <c r="DU6" i="4"/>
  <c r="GG6" i="4"/>
  <c r="IS6" i="4"/>
  <c r="IL6" i="4"/>
  <c r="IR22" i="4"/>
  <c r="GT22" i="4"/>
  <c r="FB22" i="4"/>
  <c r="DR22" i="4"/>
  <c r="CG22" i="4"/>
  <c r="AW22" i="4"/>
  <c r="U22" i="4"/>
  <c r="FX22" i="4"/>
  <c r="AE22" i="4"/>
  <c r="ER22" i="4"/>
  <c r="L22" i="4"/>
  <c r="EJ22" i="4"/>
  <c r="K22" i="4"/>
  <c r="DG22" i="4"/>
  <c r="CY22" i="4"/>
  <c r="IC22" i="4"/>
  <c r="HS22" i="4"/>
  <c r="GG22" i="4"/>
  <c r="BW22" i="4"/>
  <c r="BO22" i="4"/>
  <c r="AL22" i="4"/>
  <c r="F11" i="4"/>
  <c r="H11" i="4" s="1"/>
  <c r="EC7" i="4"/>
  <c r="U7" i="4"/>
  <c r="FV6" i="4"/>
  <c r="DA6" i="4"/>
  <c r="AJ6" i="4"/>
  <c r="FD7" i="4"/>
  <c r="AS7" i="4"/>
  <c r="GN6" i="4"/>
  <c r="DR6" i="4"/>
  <c r="AQ6" i="4"/>
  <c r="HO7" i="4"/>
  <c r="CQ7" i="4"/>
  <c r="CS7" i="4"/>
  <c r="FE7" i="4"/>
  <c r="HQ7" i="4"/>
  <c r="AH7" i="4"/>
  <c r="CT7" i="4"/>
  <c r="FF7" i="4"/>
  <c r="HR7" i="4"/>
  <c r="AA7" i="4"/>
  <c r="CM7" i="4"/>
  <c r="EY7" i="4"/>
  <c r="HK7" i="4"/>
  <c r="T7" i="4"/>
  <c r="CF7" i="4"/>
  <c r="ER7" i="4"/>
  <c r="HD7" i="4"/>
  <c r="FH25" i="4"/>
  <c r="EX25" i="4"/>
  <c r="EM25" i="4"/>
  <c r="EB25" i="4"/>
  <c r="DR25" i="4"/>
  <c r="DG25" i="4"/>
  <c r="CX25" i="4"/>
  <c r="CO25" i="4"/>
  <c r="CF25" i="4"/>
  <c r="BW25" i="4"/>
  <c r="BN25" i="4"/>
  <c r="BE25" i="4"/>
  <c r="AU25" i="4"/>
  <c r="AL25" i="4"/>
  <c r="AC25" i="4"/>
  <c r="T25" i="4"/>
  <c r="K25" i="4"/>
  <c r="EA25" i="4"/>
  <c r="DQ25" i="4"/>
  <c r="DF25" i="4"/>
  <c r="CW25" i="4"/>
  <c r="CN25" i="4"/>
  <c r="CE25" i="4"/>
  <c r="BV25" i="4"/>
  <c r="BM25" i="4"/>
  <c r="BC25" i="4"/>
  <c r="AT25" i="4"/>
  <c r="AK25" i="4"/>
  <c r="AB25" i="4"/>
  <c r="S25" i="4"/>
  <c r="J25" i="4"/>
  <c r="FF25" i="4"/>
  <c r="EU25" i="4"/>
  <c r="EJ25" i="4"/>
  <c r="DZ25" i="4"/>
  <c r="DO25" i="4"/>
  <c r="DE25" i="4"/>
  <c r="CV25" i="4"/>
  <c r="CM25" i="4"/>
  <c r="CD25" i="4"/>
  <c r="BU25" i="4"/>
  <c r="BK25" i="4"/>
  <c r="BB25" i="4"/>
  <c r="AS25" i="4"/>
  <c r="AJ25" i="4"/>
  <c r="AA25" i="4"/>
  <c r="R25" i="4"/>
  <c r="H25" i="4"/>
  <c r="IA25" i="4"/>
  <c r="GC25" i="4"/>
  <c r="EI25" i="4"/>
  <c r="CU25" i="4"/>
  <c r="BJ25" i="4"/>
  <c r="Z25" i="4"/>
  <c r="HZ25" i="4"/>
  <c r="FY25" i="4"/>
  <c r="EH25" i="4"/>
  <c r="CT25" i="4"/>
  <c r="BI25" i="4"/>
  <c r="Y25" i="4"/>
  <c r="HM25" i="4"/>
  <c r="FO25" i="4"/>
  <c r="DY25" i="4"/>
  <c r="CL25" i="4"/>
  <c r="BA25" i="4"/>
  <c r="Q25" i="4"/>
  <c r="HL25" i="4"/>
  <c r="FN25" i="4"/>
  <c r="DW25" i="4"/>
  <c r="CK25" i="4"/>
  <c r="AZ25" i="4"/>
  <c r="O25" i="4"/>
  <c r="HB25" i="4"/>
  <c r="FE25" i="4"/>
  <c r="DM25" i="4"/>
  <c r="CC25" i="4"/>
  <c r="AR25" i="4"/>
  <c r="F25" i="4"/>
  <c r="IY25" i="4"/>
  <c r="HA25" i="4"/>
  <c r="FC25" i="4"/>
  <c r="DL25" i="4"/>
  <c r="CA25" i="4"/>
  <c r="AQ25" i="4"/>
  <c r="GM25" i="4"/>
  <c r="AH25" i="4"/>
  <c r="ES25" i="4"/>
  <c r="ER25" i="4"/>
  <c r="DD25" i="4"/>
  <c r="DC25" i="4"/>
  <c r="IO25" i="4"/>
  <c r="BS25" i="4"/>
  <c r="BR25" i="4"/>
  <c r="AI25" i="4"/>
  <c r="IK25" i="4"/>
  <c r="GN25" i="4"/>
  <c r="GH7" i="4"/>
  <c r="BM7" i="4"/>
  <c r="HR6" i="4"/>
  <c r="EQ6" i="4"/>
  <c r="BV6" i="4"/>
  <c r="IR5" i="4"/>
  <c r="IJ5" i="4"/>
  <c r="IB5" i="4"/>
  <c r="HT5" i="4"/>
  <c r="HL5" i="4"/>
  <c r="HD5" i="4"/>
  <c r="GV5" i="4"/>
  <c r="GN5" i="4"/>
  <c r="GF5" i="4"/>
  <c r="FX5" i="4"/>
  <c r="FP5" i="4"/>
  <c r="FH5" i="4"/>
  <c r="EZ5" i="4"/>
  <c r="ER5" i="4"/>
  <c r="EJ5" i="4"/>
  <c r="EB5" i="4"/>
  <c r="DT5" i="4"/>
  <c r="DL5" i="4"/>
  <c r="DD5" i="4"/>
  <c r="CV5" i="4"/>
  <c r="CN5" i="4"/>
  <c r="CF5" i="4"/>
  <c r="BX5" i="4"/>
  <c r="BP5" i="4"/>
  <c r="BH5" i="4"/>
  <c r="AZ5" i="4"/>
  <c r="AR5" i="4"/>
  <c r="AJ5" i="4"/>
  <c r="AB5" i="4"/>
  <c r="T5" i="4"/>
  <c r="L5" i="4"/>
  <c r="IX5" i="4"/>
  <c r="IP5" i="4"/>
  <c r="IH5" i="4"/>
  <c r="HZ5" i="4"/>
  <c r="HR5" i="4"/>
  <c r="HJ5" i="4"/>
  <c r="HB5" i="4"/>
  <c r="GT5" i="4"/>
  <c r="GL5" i="4"/>
  <c r="GD5" i="4"/>
  <c r="FV5" i="4"/>
  <c r="FN5" i="4"/>
  <c r="FF5" i="4"/>
  <c r="EX5" i="4"/>
  <c r="EP5" i="4"/>
  <c r="EH5" i="4"/>
  <c r="DZ5" i="4"/>
  <c r="DR5" i="4"/>
  <c r="DJ5" i="4"/>
  <c r="DB5" i="4"/>
  <c r="CT5" i="4"/>
  <c r="CL5" i="4"/>
  <c r="CD5" i="4"/>
  <c r="BV5" i="4"/>
  <c r="BN5" i="4"/>
  <c r="BF5" i="4"/>
  <c r="AX5" i="4"/>
  <c r="AP5" i="4"/>
  <c r="AH5" i="4"/>
  <c r="Z5" i="4"/>
  <c r="R5" i="4"/>
  <c r="J5" i="4"/>
  <c r="IV5" i="4"/>
  <c r="HP5" i="4"/>
  <c r="GJ5" i="4"/>
  <c r="FD5" i="4"/>
  <c r="DX5" i="4"/>
  <c r="CR5" i="4"/>
  <c r="BL5" i="4"/>
  <c r="AF5" i="4"/>
  <c r="IO5" i="4"/>
  <c r="HI5" i="4"/>
  <c r="GC5" i="4"/>
  <c r="EW5" i="4"/>
  <c r="DQ5" i="4"/>
  <c r="CK5" i="4"/>
  <c r="BE5" i="4"/>
  <c r="Y5" i="4"/>
  <c r="IN5" i="4"/>
  <c r="HH5" i="4"/>
  <c r="GB5" i="4"/>
  <c r="EV5" i="4"/>
  <c r="DP5" i="4"/>
  <c r="CJ5" i="4"/>
  <c r="BD5" i="4"/>
  <c r="X5" i="4"/>
  <c r="IG5" i="4"/>
  <c r="HA5" i="4"/>
  <c r="FU5" i="4"/>
  <c r="EO5" i="4"/>
  <c r="DI5" i="4"/>
  <c r="CC5" i="4"/>
  <c r="AW5" i="4"/>
  <c r="Q5" i="4"/>
  <c r="IF5" i="4"/>
  <c r="GZ5" i="4"/>
  <c r="FT5" i="4"/>
  <c r="EN5" i="4"/>
  <c r="DH5" i="4"/>
  <c r="CB5" i="4"/>
  <c r="AV5" i="4"/>
  <c r="P5" i="4"/>
  <c r="HY5" i="4"/>
  <c r="GS5" i="4"/>
  <c r="FM5" i="4"/>
  <c r="EG5" i="4"/>
  <c r="DA5" i="4"/>
  <c r="BU5" i="4"/>
  <c r="AO5" i="4"/>
  <c r="HX5" i="4"/>
  <c r="GR5" i="4"/>
  <c r="FL5" i="4"/>
  <c r="EF5" i="4"/>
  <c r="CZ5" i="4"/>
  <c r="BT5" i="4"/>
  <c r="AN5" i="4"/>
  <c r="IW5" i="4"/>
  <c r="HQ5" i="4"/>
  <c r="GK5" i="4"/>
  <c r="FE5" i="4"/>
  <c r="DY5" i="4"/>
  <c r="CS5" i="4"/>
  <c r="BM5" i="4"/>
  <c r="AG5" i="4"/>
  <c r="IC7" i="4"/>
  <c r="DE7" i="4"/>
  <c r="H5" i="4"/>
  <c r="N5" i="3" s="1"/>
  <c r="EY21" i="4"/>
  <c r="EX21" i="4"/>
  <c r="CL21" i="4"/>
  <c r="E21" i="4" s="1"/>
  <c r="CQ9" i="4"/>
  <c r="BZ9" i="4"/>
  <c r="EI9" i="4"/>
  <c r="BO9" i="4"/>
  <c r="IK9" i="4"/>
  <c r="EK9" i="4"/>
  <c r="BQ9" i="4"/>
  <c r="IW9" i="4"/>
  <c r="ER9" i="4"/>
  <c r="BF9" i="4"/>
  <c r="HU9" i="4"/>
  <c r="HY9" i="4"/>
  <c r="BI9" i="4"/>
  <c r="ED9" i="4"/>
  <c r="HD9" i="4"/>
  <c r="AR9" i="4"/>
  <c r="DM9" i="4"/>
  <c r="GK9" i="4"/>
  <c r="AJ9" i="4"/>
  <c r="DE9" i="4"/>
  <c r="GA9" i="4"/>
  <c r="S9" i="4"/>
  <c r="CN9" i="4"/>
  <c r="FI9" i="4"/>
  <c r="IS9" i="4"/>
  <c r="ID9" i="4"/>
  <c r="BT9" i="4"/>
  <c r="EF9" i="4"/>
  <c r="GR9" i="4"/>
  <c r="EC9" i="4"/>
  <c r="BG9" i="4"/>
  <c r="IQ6" i="4"/>
  <c r="DI6" i="4"/>
  <c r="E14" i="4" l="1"/>
  <c r="E20" i="4"/>
  <c r="E22" i="4"/>
  <c r="E17" i="4"/>
  <c r="M34" i="3"/>
  <c r="L34" i="3" s="1"/>
  <c r="K34" i="5" s="1"/>
  <c r="E12" i="4"/>
  <c r="E26" i="4"/>
  <c r="E32" i="4"/>
  <c r="E28" i="4"/>
  <c r="E16" i="4"/>
  <c r="E19" i="4"/>
  <c r="E34" i="4"/>
  <c r="G34" i="4" s="1"/>
  <c r="E27" i="4"/>
  <c r="F27" i="4" s="1"/>
  <c r="E31" i="4"/>
  <c r="M24" i="3"/>
  <c r="L24" i="3" s="1"/>
  <c r="K24" i="5" s="1"/>
  <c r="F32" i="4"/>
  <c r="F16" i="4"/>
  <c r="F14" i="4"/>
  <c r="F20" i="4"/>
  <c r="G20" i="4"/>
  <c r="F22" i="4"/>
  <c r="F26" i="4"/>
  <c r="F28" i="4"/>
  <c r="F34" i="4"/>
  <c r="E25" i="4"/>
  <c r="E5" i="4"/>
  <c r="N6" i="3"/>
  <c r="E23" i="4"/>
  <c r="N31" i="3"/>
  <c r="N11" i="3"/>
  <c r="H13" i="4"/>
  <c r="N13" i="3" s="1"/>
  <c r="H6" i="4"/>
  <c r="E15" i="4"/>
  <c r="H31" i="4"/>
  <c r="E33" i="4"/>
  <c r="M14" i="3"/>
  <c r="L14" i="3" s="1"/>
  <c r="K14" i="5" s="1"/>
  <c r="M26" i="3"/>
  <c r="L26" i="3" s="1"/>
  <c r="K26" i="5" s="1"/>
  <c r="N12" i="3"/>
  <c r="E18" i="4"/>
  <c r="E11" i="4"/>
  <c r="M20" i="3"/>
  <c r="L20" i="3" s="1"/>
  <c r="K20" i="5" s="1"/>
  <c r="H12" i="4"/>
  <c r="N30" i="3"/>
  <c r="N23" i="3"/>
  <c r="M6" i="3"/>
  <c r="L6" i="3" s="1"/>
  <c r="M8" i="3"/>
  <c r="L8" i="3" s="1"/>
  <c r="K8" i="5" s="1"/>
  <c r="E8" i="4"/>
  <c r="N17" i="3"/>
  <c r="E29" i="4"/>
  <c r="N25" i="3"/>
  <c r="E9" i="4"/>
  <c r="E7" i="4"/>
  <c r="N19" i="3"/>
  <c r="N18" i="3"/>
  <c r="E30" i="4"/>
  <c r="M33" i="3"/>
  <c r="L33" i="3" s="1"/>
  <c r="K33" i="5" s="1"/>
  <c r="N29" i="3"/>
  <c r="E6" i="4"/>
  <c r="F21" i="4"/>
  <c r="G21" i="4" s="1"/>
  <c r="E10" i="4"/>
  <c r="E13" i="4"/>
  <c r="E24" i="4"/>
  <c r="M21" i="3"/>
  <c r="L21" i="3" s="1"/>
  <c r="K21" i="5" s="1"/>
  <c r="G28" i="4" l="1"/>
  <c r="H28" i="4" s="1"/>
  <c r="G14" i="4"/>
  <c r="G10" i="4"/>
  <c r="F10" i="4"/>
  <c r="H10" i="4" s="1"/>
  <c r="F9" i="4"/>
  <c r="F33" i="4"/>
  <c r="H26" i="4"/>
  <c r="N26" i="3" s="1"/>
  <c r="H27" i="4"/>
  <c r="N27" i="3" s="1"/>
  <c r="G26" i="4"/>
  <c r="G27" i="4"/>
  <c r="F8" i="4"/>
  <c r="G8" i="4"/>
  <c r="K6" i="5"/>
  <c r="H2" i="3"/>
  <c r="H1" i="3"/>
  <c r="N21" i="3"/>
  <c r="H21" i="4"/>
  <c r="F15" i="4"/>
  <c r="G22" i="4"/>
  <c r="G16" i="4"/>
  <c r="H16" i="4" s="1"/>
  <c r="N16" i="3" s="1"/>
  <c r="H34" i="4"/>
  <c r="N34" i="3" s="1"/>
  <c r="H20" i="4"/>
  <c r="N20" i="3" s="1"/>
  <c r="G32" i="4"/>
  <c r="H22" i="4" l="1"/>
  <c r="N22" i="3" s="1"/>
  <c r="N28" i="3"/>
  <c r="H32" i="4"/>
  <c r="N32" i="3" s="1"/>
  <c r="N8" i="3"/>
  <c r="H8" i="4"/>
  <c r="G33" i="4"/>
  <c r="G15" i="4"/>
  <c r="H15" i="4" s="1"/>
  <c r="H14" i="4"/>
  <c r="N14" i="3" s="1"/>
  <c r="G9" i="4"/>
  <c r="H9" i="4" s="1"/>
  <c r="N9" i="3" s="1"/>
  <c r="N15" i="3" l="1"/>
  <c r="H33" i="4"/>
  <c r="N3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Plantilla</author>
  </authors>
  <commentList>
    <comment ref="N4" authorId="0" shapeId="0" xr:uid="{00000000-0006-0000-0200-000001000000}">
      <text>
        <r>
          <rPr>
            <sz val="11"/>
            <color theme="1"/>
            <rFont val="Calibri"/>
            <family val="2"/>
            <scheme val="minor"/>
          </rPr>
          <t>Calculada por Excel (hoja oculta CALC_SUGERENCIA): 1º mínima devolución, 2º máximo nº de fichas. Solo orientativa; el cartel usa las celdas amarillas.</t>
        </r>
      </text>
    </comment>
  </commentList>
</comments>
</file>

<file path=xl/sharedStrings.xml><?xml version="1.0" encoding="utf-8"?>
<sst xmlns="http://schemas.openxmlformats.org/spreadsheetml/2006/main" count="204" uniqueCount="109">
  <si>
    <t>CAMBIOS — Nº DE FICHAS POR COMBINACIÓN</t>
  </si>
  <si>
    <t>Escribe solo en las celdas AMARILLAS. Todo lo demás son fórmulas.</t>
  </si>
  <si>
    <t>Cambio (€)</t>
  </si>
  <si>
    <t>Combinación</t>
  </si>
  <si>
    <t>Nº total de fichas</t>
  </si>
  <si>
    <t>Total entregado en fichas (€)</t>
  </si>
  <si>
    <t>Devolución (€)</t>
  </si>
  <si>
    <t>Estado</t>
  </si>
  <si>
    <t>Observaciones</t>
  </si>
  <si>
    <t>Sugerencia (óptima)</t>
  </si>
  <si>
    <t>AUX: usa ficha 1</t>
  </si>
  <si>
    <t>AUX: usa ficha 2</t>
  </si>
  <si>
    <t>AUX: usa ficha 3</t>
  </si>
  <si>
    <t>AUX: mínimo necesario (€)</t>
  </si>
  <si>
    <t>AUX: ficha más alta (€)</t>
  </si>
  <si>
    <t>AUX: ficha más baja (€)</t>
  </si>
  <si>
    <t>—</t>
  </si>
  <si>
    <t>CARTEL DE CAMBIO DE DINERO A FICHAS — CÓMO USAR ESTE EXCEL</t>
  </si>
  <si>
    <t>PASOS</t>
  </si>
  <si>
    <t>1.  CONFIGURACIÓN: cambia (si hace falta) el valor de las fichas, las bebidas, los colores, los importes y los textos.</t>
  </si>
  <si>
    <t>2.  CAMBIOS: escribe el nº de fichas de cada combinación en las celdas AMARILLAS (texto azul). Nada más.</t>
  </si>
  <si>
    <t>3.  Excel calcula solo: valor aportado por cada tipo, total entregado, devolución y ESTADO.</t>
  </si>
  <si>
    <t>4.  Corrige todo lo que salga en ROJO (REVISAR). La columna 'Observaciones' explica el motivo.</t>
  </si>
  <si>
    <t>5.  Guarda el Excel (Ctrl+G / Ctrl+S) y ejecuta:   python generador_cartel_fichas.py</t>
  </si>
  <si>
    <t>6.  Se genera cartel_cambio_fichas.png con EXACTAMENTE los números de este Excel.</t>
  </si>
  <si>
    <t>COLORES DE LAS CELDAS</t>
  </si>
  <si>
    <t>Amarillo + texto azul  →  editable (lo escribes tú).</t>
  </si>
  <si>
    <t>Gris claro  →  fórmula (no se toca; las hojas están protegidas sin contraseña: Revisar › Desproteger hoja).</t>
  </si>
  <si>
    <t>Gris oscuro con '—'  →  ese tipo de ficha no forma parte de la combinación.</t>
  </si>
  <si>
    <t>ESTADOS</t>
  </si>
  <si>
    <t>OK  →  cuentas correctas. Python lo dibuja tal cual.</t>
  </si>
  <si>
    <t>REVISAR  →  falta un dato, las fichas superan el importe o la devolución es mayor que la ficha más alta de la combinación. Python NO genera el cartel mientras haya alguna casilla en REVISAR (salvo con --forzar).</t>
  </si>
  <si>
    <t>NO ES POSIBLE  →  ni siquiera cabe 1 ficha de cada tipo en ese importe. El cartel muestra 'NO ES POSIBLE'.</t>
  </si>
  <si>
    <t>Un 'Aviso' en Observaciones (con estado OK) indica que todavía cabría 1 ficha más; es válido, solo informativo.</t>
  </si>
  <si>
    <t>REGLAS</t>
  </si>
  <si>
    <t>• La devolución nunca puede ser mayor que el valor de la ficha más alta que aparece en la combinación.</t>
  </si>
  <si>
    <t>• En las combinaciones dobles hay que dar al menos 1 ficha de cada tipo.</t>
  </si>
  <si>
    <t>• Columna 'Sugerencia': Excel calcula la combinación óptima (1º mínima devolución, 2º máximo de fichas). Es solo una ayuda: lo que se imprime es lo que tú escribas en las celdas amarillas.</t>
  </si>
  <si>
    <t>• Valores de fichas e importes en euros enteros (la sugerencia explora hasta 250 fichas del primer tipo).</t>
  </si>
  <si>
    <t>HOJAS</t>
  </si>
  <si>
    <t>CONFIGURACIÓN (editable) · CAMBIOS (editable: nº de fichas) · DATOS_PYTHON (lo que lee Python; no editar) · CALC_SUGERENCIA (oculta, cálculo de la sugerencia).</t>
  </si>
  <si>
    <t>CONFIGURACIÓN DEL CARTEL</t>
  </si>
  <si>
    <t>Celdas amarillas = editables. El resto se usa en las demás hojas.</t>
  </si>
  <si>
    <t>Ficha</t>
  </si>
  <si>
    <t>Valor (€)</t>
  </si>
  <si>
    <t>Nombre bebida</t>
  </si>
  <si>
    <t>Color (hex)</t>
  </si>
  <si>
    <t>← El color de relleno de la columna D es orientativo; el que usa el cartel es el código hex escrito.</t>
  </si>
  <si>
    <t>Ficha 1</t>
  </si>
  <si>
    <t>Cerveza</t>
  </si>
  <si>
    <t>#F4511E</t>
  </si>
  <si>
    <t>Ficha 2</t>
  </si>
  <si>
    <t>Calimocho</t>
  </si>
  <si>
    <t>#29A9F0</t>
  </si>
  <si>
    <t>Ficha 3</t>
  </si>
  <si>
    <t>Cubata</t>
  </si>
  <si>
    <t>#F5A400</t>
  </si>
  <si>
    <t>Importe</t>
  </si>
  <si>
    <t>Importe 1</t>
  </si>
  <si>
    <t>← Si cambias un importe, revisa sus 6 filas en CAMBIOS (saldrán en REVISAR si no cuadran).</t>
  </si>
  <si>
    <t>Importe 2</t>
  </si>
  <si>
    <t>Importe 3</t>
  </si>
  <si>
    <t>Importe 4</t>
  </si>
  <si>
    <t>Importe 5</t>
  </si>
  <si>
    <t>Texto</t>
  </si>
  <si>
    <t>Contenido</t>
  </si>
  <si>
    <t>Título</t>
  </si>
  <si>
    <t>CAMBIO DE DINERO A FICHAS</t>
  </si>
  <si>
    <t>Subtítulo</t>
  </si>
  <si>
    <t>TÚ ELIGES  •  DISFRUTA DEL FESTIVAL</t>
  </si>
  <si>
    <t>Título tabla</t>
  </si>
  <si>
    <t>POSIBLES COMBINACIONES DE CAMBIO DE FICHAS</t>
  </si>
  <si>
    <t>Pie</t>
  </si>
  <si>
    <t>¡ELIGE TU COMBINACIÓN, CAMBIA TUS EUROS POR FICHAS Y DISFRUTA!</t>
  </si>
  <si>
    <t>Extra</t>
  </si>
  <si>
    <t>Precio (€)</t>
  </si>
  <si>
    <t>Vaso</t>
  </si>
  <si>
    <t>← Precio de cada vaso. La web lo suma al total.</t>
  </si>
  <si>
    <t>Cálculo de la sugerencia óptima. Para cada fila prueba a = 1..250 fichas del primer tipo y el máximo del segundo.</t>
  </si>
  <si>
    <t>Puntuación = devolución·100000 + (10000 − nº fichas)  → la mínima = menor devolución y, a igualdad, más fichas.</t>
  </si>
  <si>
    <t>Valor A</t>
  </si>
  <si>
    <t>Valor B</t>
  </si>
  <si>
    <t>Nº tipos</t>
  </si>
  <si>
    <t>Mejor puntuación</t>
  </si>
  <si>
    <t>Fichas A</t>
  </si>
  <si>
    <t>Fichas B</t>
  </si>
  <si>
    <t>Devolución</t>
  </si>
  <si>
    <t>DATOS PARA PYTHON — se rellena solo con fórmulas. NO EDITAR.</t>
  </si>
  <si>
    <t>generador_cartel_fichas.py lee únicamente esta hoja (claves en A:B y tabla en D:K).</t>
  </si>
  <si>
    <t>Clave</t>
  </si>
  <si>
    <t>Valor</t>
  </si>
  <si>
    <t>Columna</t>
  </si>
  <si>
    <t>Fichas tipo 1</t>
  </si>
  <si>
    <t>Fichas tipo 2</t>
  </si>
  <si>
    <t>Fichas tipo 3</t>
  </si>
  <si>
    <t>ficha1_valor</t>
  </si>
  <si>
    <t>ficha1_bebida</t>
  </si>
  <si>
    <t>ficha1_color</t>
  </si>
  <si>
    <t>ficha2_valor</t>
  </si>
  <si>
    <t>ficha2_bebida</t>
  </si>
  <si>
    <t>ficha2_color</t>
  </si>
  <si>
    <t>ficha3_valor</t>
  </si>
  <si>
    <t>ficha3_bebida</t>
  </si>
  <si>
    <t>ficha3_color</t>
  </si>
  <si>
    <t>titulo</t>
  </si>
  <si>
    <t>subtitulo</t>
  </si>
  <si>
    <t>titulo_tabla</t>
  </si>
  <si>
    <t>pie</t>
  </si>
  <si>
    <t>vaso_precio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</si>
</sst>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quot; €&quot;"/>
  </numFmts>
  <fonts count="15" x14ac:knownFonts="1">
    <font>
      <sz val="11"/>
      <color theme="1"/>
      <name val="Calibri"/>
      <family val="2"/>
      <scheme val="minor"/>
    </font>
    <font>
      <b/>
      <sz val="16"/>
      <color rgb="FF0B2D33"/>
      <name val="Arial"/>
    </font>
    <font>
      <b/>
      <sz val="11"/>
      <color rgb="FF0B2D33"/>
      <name val="Arial"/>
    </font>
    <font>
      <sz val="10"/>
      <color rgb="FF000000"/>
      <name val="Arial"/>
    </font>
    <font>
      <i/>
      <sz val="9"/>
      <color rgb="FF555555"/>
      <name val="Arial"/>
    </font>
    <font>
      <b/>
      <sz val="10"/>
      <color rgb="FFFFFFFF"/>
      <name val="Arial"/>
    </font>
    <font>
      <b/>
      <sz val="10"/>
      <name val="Arial"/>
    </font>
    <font>
      <b/>
      <sz val="11"/>
      <color rgb="FF0000FF"/>
      <name val="Arial"/>
    </font>
    <font>
      <b/>
      <sz val="12"/>
      <color rgb="FF9C0006"/>
      <name val="Arial"/>
    </font>
    <font>
      <b/>
      <sz val="10"/>
      <color rgb="FF7F6000"/>
      <name val="Arial"/>
    </font>
    <font>
      <b/>
      <sz val="8"/>
      <color rgb="FFFFFFFF"/>
      <name val="Arial"/>
    </font>
    <font>
      <sz val="10"/>
      <name val="Arial"/>
    </font>
    <font>
      <sz val="8"/>
      <color rgb="FF808080"/>
      <name val="Arial"/>
    </font>
    <font>
      <b/>
      <sz val="11"/>
      <name val="Arial"/>
    </font>
    <font>
      <i/>
      <sz val="9"/>
      <color rgb="FF375623"/>
      <name val="Arial"/>
    </font>
  </fonts>
  <fills count="11">
    <fill>
      <patternFill patternType="none"/>
    </fill>
    <fill>
      <patternFill patternType="gray125"/>
    </fill>
    <fill>
      <patternFill patternType="solid">
        <fgColor rgb="FF0B2D33"/>
      </patternFill>
    </fill>
    <fill>
      <patternFill patternType="solid">
        <fgColor rgb="FFFFF2CC"/>
      </patternFill>
    </fill>
    <fill>
      <patternFill patternType="solid">
        <fgColor rgb="FFF4511E"/>
      </patternFill>
    </fill>
    <fill>
      <patternFill patternType="solid">
        <fgColor rgb="FF29A9F0"/>
      </patternFill>
    </fill>
    <fill>
      <patternFill patternType="solid">
        <fgColor rgb="FFF5A400"/>
      </patternFill>
    </fill>
    <fill>
      <patternFill patternType="solid">
        <fgColor rgb="FF7F7F7F"/>
      </patternFill>
    </fill>
    <fill>
      <patternFill patternType="solid">
        <fgColor rgb="FFF2F2F2"/>
      </patternFill>
    </fill>
    <fill>
      <patternFill patternType="solid">
        <fgColor rgb="FFD9D9D9"/>
      </patternFill>
    </fill>
    <fill>
      <patternFill patternType="solid">
        <fgColor rgb="FFFAFAFA"/>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0B2D33"/>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164" fontId="7" fillId="3" borderId="1" xfId="0" applyNumberFormat="1" applyFont="1" applyFill="1" applyBorder="1" applyAlignment="1" applyProtection="1">
      <alignment horizontal="center" vertical="center" wrapText="1"/>
      <protection locked="0"/>
    </xf>
    <xf numFmtId="0" fontId="7" fillId="3" borderId="1" xfId="0" applyFont="1" applyFill="1" applyBorder="1" applyAlignment="1" applyProtection="1">
      <alignment horizontal="center" vertical="center" wrapText="1"/>
      <protection locked="0"/>
    </xf>
    <xf numFmtId="0" fontId="6" fillId="4" borderId="1" xfId="0" applyFont="1" applyFill="1" applyBorder="1" applyAlignment="1" applyProtection="1">
      <alignment horizontal="center" vertical="center" wrapText="1"/>
      <protection locked="0"/>
    </xf>
    <xf numFmtId="0" fontId="6" fillId="5" borderId="1" xfId="0" applyFont="1" applyFill="1" applyBorder="1" applyAlignment="1" applyProtection="1">
      <alignment horizontal="center" vertical="center" wrapText="1"/>
      <protection locked="0"/>
    </xf>
    <xf numFmtId="0" fontId="6" fillId="6" borderId="1" xfId="0" applyFont="1" applyFill="1" applyBorder="1" applyAlignment="1" applyProtection="1">
      <alignment horizontal="center" vertical="center" wrapText="1"/>
      <protection locked="0"/>
    </xf>
    <xf numFmtId="0" fontId="8" fillId="0" borderId="0" xfId="0" applyFont="1"/>
    <xf numFmtId="0" fontId="9" fillId="0" borderId="0" xfId="0" applyFont="1"/>
    <xf numFmtId="0" fontId="10" fillId="7" borderId="1" xfId="0"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0" fontId="11" fillId="8" borderId="2" xfId="0" applyFont="1" applyFill="1" applyBorder="1" applyAlignment="1">
      <alignment horizontal="left" vertical="center" wrapText="1"/>
    </xf>
    <xf numFmtId="1" fontId="7" fillId="3" borderId="2" xfId="0" applyNumberFormat="1" applyFont="1" applyFill="1" applyBorder="1" applyAlignment="1" applyProtection="1">
      <alignment horizontal="center" vertical="center" wrapText="1"/>
      <protection locked="0"/>
    </xf>
    <xf numFmtId="164" fontId="11" fillId="8" borderId="2" xfId="0" applyNumberFormat="1" applyFont="1" applyFill="1" applyBorder="1" applyAlignment="1">
      <alignment horizontal="center" vertical="center" wrapText="1"/>
    </xf>
    <xf numFmtId="0" fontId="12" fillId="9" borderId="2" xfId="0" applyFont="1" applyFill="1" applyBorder="1" applyAlignment="1">
      <alignment horizontal="center" vertical="center" wrapText="1"/>
    </xf>
    <xf numFmtId="1" fontId="6" fillId="8" borderId="2" xfId="0" applyNumberFormat="1" applyFont="1" applyFill="1" applyBorder="1" applyAlignment="1">
      <alignment horizontal="center" vertical="center" wrapText="1"/>
    </xf>
    <xf numFmtId="164" fontId="13" fillId="8" borderId="2" xfId="0" applyNumberFormat="1" applyFont="1" applyFill="1" applyBorder="1" applyAlignment="1">
      <alignment horizontal="center" vertical="center" wrapText="1"/>
    </xf>
    <xf numFmtId="0" fontId="6" fillId="8" borderId="2" xfId="0" applyFont="1" applyFill="1" applyBorder="1" applyAlignment="1">
      <alignment horizontal="center" vertical="center" wrapText="1"/>
    </xf>
    <xf numFmtId="0" fontId="14" fillId="8" borderId="2" xfId="0" applyFont="1" applyFill="1" applyBorder="1" applyAlignment="1">
      <alignment horizontal="left" vertical="center" wrapText="1"/>
    </xf>
    <xf numFmtId="0" fontId="12" fillId="10" borderId="2" xfId="0" applyFont="1" applyFill="1" applyBorder="1" applyAlignment="1">
      <alignment horizontal="center" vertical="center" wrapText="1"/>
    </xf>
    <xf numFmtId="164" fontId="12" fillId="10" borderId="2" xfId="0" applyNumberFormat="1" applyFont="1" applyFill="1" applyBorder="1" applyAlignment="1">
      <alignment horizontal="center" vertical="center" wrapText="1"/>
    </xf>
    <xf numFmtId="164" fontId="6" fillId="8" borderId="1" xfId="0" applyNumberFormat="1" applyFont="1" applyFill="1" applyBorder="1" applyAlignment="1">
      <alignment horizontal="center" vertical="center" wrapText="1"/>
    </xf>
    <xf numFmtId="0" fontId="11" fillId="8"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1" fontId="7" fillId="3" borderId="1" xfId="0" applyNumberFormat="1" applyFont="1" applyFill="1" applyBorder="1" applyAlignment="1" applyProtection="1">
      <alignment horizontal="center" vertical="center" wrapText="1"/>
      <protection locked="0"/>
    </xf>
    <xf numFmtId="164" fontId="11" fillId="8" borderId="1" xfId="0" applyNumberFormat="1" applyFont="1" applyFill="1" applyBorder="1" applyAlignment="1">
      <alignment horizontal="center" vertical="center" wrapText="1"/>
    </xf>
    <xf numFmtId="1" fontId="6" fillId="8" borderId="1" xfId="0" applyNumberFormat="1" applyFont="1" applyFill="1" applyBorder="1" applyAlignment="1">
      <alignment horizontal="center" vertical="center" wrapText="1"/>
    </xf>
    <xf numFmtId="164" fontId="13" fillId="8"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14" fillId="8"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164" fontId="12" fillId="10" borderId="1" xfId="0" applyNumberFormat="1" applyFont="1" applyFill="1" applyBorder="1" applyAlignment="1">
      <alignment horizontal="center" vertical="center" wrapText="1"/>
    </xf>
    <xf numFmtId="0" fontId="6" fillId="0" borderId="0" xfId="0" applyFont="1"/>
    <xf numFmtId="0" fontId="6"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1" fontId="11" fillId="8" borderId="1" xfId="0" applyNumberFormat="1" applyFont="1" applyFill="1" applyBorder="1" applyAlignment="1">
      <alignment horizontal="center" vertical="center" wrapText="1"/>
    </xf>
    <xf numFmtId="0" fontId="7" fillId="3" borderId="1" xfId="0" applyFont="1" applyFill="1" applyBorder="1" applyAlignment="1" applyProtection="1">
      <alignment horizontal="left" vertical="center" wrapText="1"/>
      <protection locked="0"/>
    </xf>
    <xf numFmtId="0" fontId="0" fillId="0" borderId="3" xfId="0" applyBorder="1" applyProtection="1">
      <protection locked="0"/>
    </xf>
    <xf numFmtId="0" fontId="0" fillId="0" borderId="4" xfId="0" applyBorder="1" applyProtection="1">
      <protection locked="0"/>
    </xf>
    <xf numFmtId="0" fontId="5" fillId="2" borderId="1" xfId="0" applyFont="1" applyFill="1" applyBorder="1" applyAlignment="1">
      <alignment horizontal="center" vertical="center" wrapText="1"/>
    </xf>
    <xf numFmtId="0" fontId="0" fillId="0" borderId="3" xfId="0" applyBorder="1"/>
    <xf numFmtId="0" fontId="0" fillId="0" borderId="4" xfId="0" applyBorder="1"/>
  </cellXfs>
  <cellStyles count="1">
    <cellStyle name="Normal" xfId="0" builtinId="0"/>
  </cellStyles>
  <dxfs count="4">
    <dxf>
      <font>
        <b/>
        <color rgb="FF7F6000"/>
        <name val="Arial"/>
      </font>
      <fill>
        <patternFill patternType="solid">
          <fgColor rgb="FFFFEB9C"/>
        </patternFill>
      </fill>
    </dxf>
    <dxf>
      <font>
        <b/>
        <color rgb="FF9C0006"/>
        <name val="Arial"/>
      </font>
      <fill>
        <patternFill patternType="solid">
          <fgColor rgb="FFFFC7CE"/>
        </patternFill>
      </fill>
    </dxf>
    <dxf>
      <font>
        <b/>
        <color rgb="FF006100"/>
        <name val="Arial"/>
      </font>
      <fill>
        <patternFill patternType="solid">
          <fgColor rgb="FFC6EFCE"/>
        </patternFill>
      </fill>
    </dxf>
    <dxf>
      <font>
        <b/>
        <color rgb="FF9C0006"/>
        <name val="Arial"/>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0"/>
  <sheetViews>
    <sheetView showGridLines="0" topLeftCell="A14" workbookViewId="0"/>
  </sheetViews>
  <sheetFormatPr baseColWidth="10" defaultColWidth="8.88671875" defaultRowHeight="14.4" x14ac:dyDescent="0.3"/>
  <cols>
    <col min="1" max="1" width="3" customWidth="1"/>
    <col min="2" max="2" width="110" customWidth="1"/>
  </cols>
  <sheetData>
    <row r="2" spans="2:2" ht="21" customHeight="1" x14ac:dyDescent="0.4">
      <c r="B2" s="1" t="s">
        <v>17</v>
      </c>
    </row>
    <row r="4" spans="2:2" x14ac:dyDescent="0.3">
      <c r="B4" s="2" t="s">
        <v>18</v>
      </c>
    </row>
    <row r="5" spans="2:2" x14ac:dyDescent="0.3">
      <c r="B5" s="3" t="s">
        <v>19</v>
      </c>
    </row>
    <row r="6" spans="2:2" x14ac:dyDescent="0.3">
      <c r="B6" s="3" t="s">
        <v>20</v>
      </c>
    </row>
    <row r="7" spans="2:2" x14ac:dyDescent="0.3">
      <c r="B7" s="3" t="s">
        <v>21</v>
      </c>
    </row>
    <row r="8" spans="2:2" x14ac:dyDescent="0.3">
      <c r="B8" s="3" t="s">
        <v>22</v>
      </c>
    </row>
    <row r="9" spans="2:2" x14ac:dyDescent="0.3">
      <c r="B9" s="3" t="s">
        <v>23</v>
      </c>
    </row>
    <row r="10" spans="2:2" x14ac:dyDescent="0.3">
      <c r="B10" s="3" t="s">
        <v>24</v>
      </c>
    </row>
    <row r="11" spans="2:2" x14ac:dyDescent="0.3">
      <c r="B11" s="3"/>
    </row>
    <row r="12" spans="2:2" x14ac:dyDescent="0.3">
      <c r="B12" s="2" t="s">
        <v>25</v>
      </c>
    </row>
    <row r="13" spans="2:2" x14ac:dyDescent="0.3">
      <c r="B13" s="3" t="s">
        <v>26</v>
      </c>
    </row>
    <row r="14" spans="2:2" x14ac:dyDescent="0.3">
      <c r="B14" s="3" t="s">
        <v>27</v>
      </c>
    </row>
    <row r="15" spans="2:2" x14ac:dyDescent="0.3">
      <c r="B15" s="3" t="s">
        <v>28</v>
      </c>
    </row>
    <row r="16" spans="2:2" x14ac:dyDescent="0.3">
      <c r="B16" s="3"/>
    </row>
    <row r="17" spans="2:2" x14ac:dyDescent="0.3">
      <c r="B17" s="2" t="s">
        <v>29</v>
      </c>
    </row>
    <row r="18" spans="2:2" x14ac:dyDescent="0.3">
      <c r="B18" s="3" t="s">
        <v>30</v>
      </c>
    </row>
    <row r="19" spans="2:2" ht="26.4" customHeight="1" x14ac:dyDescent="0.3">
      <c r="B19" s="3" t="s">
        <v>31</v>
      </c>
    </row>
    <row r="20" spans="2:2" x14ac:dyDescent="0.3">
      <c r="B20" s="3" t="s">
        <v>32</v>
      </c>
    </row>
    <row r="21" spans="2:2" x14ac:dyDescent="0.3">
      <c r="B21" s="3" t="s">
        <v>33</v>
      </c>
    </row>
    <row r="22" spans="2:2" x14ac:dyDescent="0.3">
      <c r="B22" s="3"/>
    </row>
    <row r="23" spans="2:2" x14ac:dyDescent="0.3">
      <c r="B23" s="2" t="s">
        <v>34</v>
      </c>
    </row>
    <row r="24" spans="2:2" x14ac:dyDescent="0.3">
      <c r="B24" s="3" t="s">
        <v>35</v>
      </c>
    </row>
    <row r="25" spans="2:2" x14ac:dyDescent="0.3">
      <c r="B25" s="3" t="s">
        <v>36</v>
      </c>
    </row>
    <row r="26" spans="2:2" ht="26.4" customHeight="1" x14ac:dyDescent="0.3">
      <c r="B26" s="3" t="s">
        <v>37</v>
      </c>
    </row>
    <row r="27" spans="2:2" x14ac:dyDescent="0.3">
      <c r="B27" s="3" t="s">
        <v>38</v>
      </c>
    </row>
    <row r="28" spans="2:2" x14ac:dyDescent="0.3">
      <c r="B28" s="3"/>
    </row>
    <row r="29" spans="2:2" x14ac:dyDescent="0.3">
      <c r="B29" s="2" t="s">
        <v>39</v>
      </c>
    </row>
    <row r="30" spans="2:2" ht="26.4" customHeight="1" x14ac:dyDescent="0.3">
      <c r="B30" s="3"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showGridLines="0" workbookViewId="0"/>
  </sheetViews>
  <sheetFormatPr baseColWidth="10" defaultColWidth="8.88671875" defaultRowHeight="14.4" x14ac:dyDescent="0.3"/>
  <cols>
    <col min="1" max="2" width="14" customWidth="1"/>
    <col min="3" max="3" width="22" customWidth="1"/>
    <col min="4" max="4" width="16" customWidth="1"/>
    <col min="5" max="5" width="70" customWidth="1"/>
  </cols>
  <sheetData>
    <row r="1" spans="1:5" ht="21" customHeight="1" x14ac:dyDescent="0.4">
      <c r="A1" s="1" t="s">
        <v>41</v>
      </c>
    </row>
    <row r="2" spans="1:5" x14ac:dyDescent="0.3">
      <c r="A2" s="4" t="s">
        <v>42</v>
      </c>
    </row>
    <row r="4" spans="1:5" x14ac:dyDescent="0.3">
      <c r="A4" s="5" t="s">
        <v>43</v>
      </c>
      <c r="B4" s="5" t="s">
        <v>44</v>
      </c>
      <c r="C4" s="5" t="s">
        <v>45</v>
      </c>
      <c r="D4" s="5" t="s">
        <v>46</v>
      </c>
      <c r="E4" s="4" t="s">
        <v>47</v>
      </c>
    </row>
    <row r="5" spans="1:5" x14ac:dyDescent="0.3">
      <c r="A5" s="6" t="s">
        <v>48</v>
      </c>
      <c r="B5" s="7">
        <v>3</v>
      </c>
      <c r="C5" s="8" t="s">
        <v>49</v>
      </c>
      <c r="D5" s="9" t="s">
        <v>50</v>
      </c>
    </row>
    <row r="6" spans="1:5" x14ac:dyDescent="0.3">
      <c r="A6" s="6" t="s">
        <v>51</v>
      </c>
      <c r="B6" s="7">
        <v>5</v>
      </c>
      <c r="C6" s="8" t="s">
        <v>52</v>
      </c>
      <c r="D6" s="10" t="s">
        <v>53</v>
      </c>
    </row>
    <row r="7" spans="1:5" x14ac:dyDescent="0.3">
      <c r="A7" s="6" t="s">
        <v>54</v>
      </c>
      <c r="B7" s="7">
        <v>7</v>
      </c>
      <c r="C7" s="8" t="s">
        <v>55</v>
      </c>
      <c r="D7" s="11" t="s">
        <v>56</v>
      </c>
    </row>
    <row r="9" spans="1:5" x14ac:dyDescent="0.3">
      <c r="A9" s="5" t="s">
        <v>57</v>
      </c>
      <c r="B9" s="5" t="s">
        <v>2</v>
      </c>
    </row>
    <row r="10" spans="1:5" x14ac:dyDescent="0.3">
      <c r="A10" s="6" t="s">
        <v>58</v>
      </c>
      <c r="B10" s="7">
        <v>10</v>
      </c>
      <c r="C10" s="4" t="s">
        <v>59</v>
      </c>
    </row>
    <row r="11" spans="1:5" x14ac:dyDescent="0.3">
      <c r="A11" s="6" t="s">
        <v>60</v>
      </c>
      <c r="B11" s="7">
        <v>20</v>
      </c>
    </row>
    <row r="12" spans="1:5" x14ac:dyDescent="0.3">
      <c r="A12" s="6" t="s">
        <v>61</v>
      </c>
      <c r="B12" s="7">
        <v>50</v>
      </c>
    </row>
    <row r="13" spans="1:5" x14ac:dyDescent="0.3">
      <c r="A13" s="6" t="s">
        <v>62</v>
      </c>
      <c r="B13" s="7">
        <v>100</v>
      </c>
    </row>
    <row r="14" spans="1:5" x14ac:dyDescent="0.3">
      <c r="A14" s="6" t="s">
        <v>63</v>
      </c>
      <c r="B14" s="7">
        <v>200</v>
      </c>
    </row>
    <row r="16" spans="1:5" x14ac:dyDescent="0.3">
      <c r="A16" s="5" t="s">
        <v>64</v>
      </c>
      <c r="B16" s="44" t="s">
        <v>65</v>
      </c>
      <c r="C16" s="45"/>
      <c r="D16" s="46"/>
    </row>
    <row r="17" spans="1:4" x14ac:dyDescent="0.3">
      <c r="A17" s="6" t="s">
        <v>66</v>
      </c>
      <c r="B17" s="41" t="s">
        <v>67</v>
      </c>
      <c r="C17" s="42"/>
      <c r="D17" s="43"/>
    </row>
    <row r="18" spans="1:4" x14ac:dyDescent="0.3">
      <c r="A18" s="6" t="s">
        <v>68</v>
      </c>
      <c r="B18" s="41" t="s">
        <v>69</v>
      </c>
      <c r="C18" s="42"/>
      <c r="D18" s="43"/>
    </row>
    <row r="19" spans="1:4" x14ac:dyDescent="0.3">
      <c r="A19" s="6" t="s">
        <v>70</v>
      </c>
      <c r="B19" s="41" t="s">
        <v>71</v>
      </c>
      <c r="C19" s="42"/>
      <c r="D19" s="43"/>
    </row>
    <row r="20" spans="1:4" x14ac:dyDescent="0.3">
      <c r="A20" s="6" t="s">
        <v>72</v>
      </c>
      <c r="B20" s="41" t="s">
        <v>73</v>
      </c>
      <c r="C20" s="42"/>
      <c r="D20" s="43"/>
    </row>
    <row r="22" spans="1:4" x14ac:dyDescent="0.3">
      <c r="A22" s="5" t="s">
        <v>74</v>
      </c>
      <c r="B22" s="5" t="s">
        <v>75</v>
      </c>
    </row>
    <row r="23" spans="1:4" x14ac:dyDescent="0.3">
      <c r="A23" s="6" t="s">
        <v>76</v>
      </c>
      <c r="B23" s="7">
        <v>1</v>
      </c>
      <c r="C23" s="4" t="s">
        <v>77</v>
      </c>
    </row>
  </sheetData>
  <sheetProtection sheet="1"/>
  <mergeCells count="5">
    <mergeCell ref="B19:D19"/>
    <mergeCell ref="B17:D17"/>
    <mergeCell ref="B18:D18"/>
    <mergeCell ref="B16:D16"/>
    <mergeCell ref="B20:D20"/>
  </mergeCells>
  <dataValidations count="3">
    <dataValidation type="decimal" operator="greaterThan" showErrorMessage="1" errorTitle="Valor no válido" error="Debe ser un número mayor que 0." sqref="B5:B7 B10:B14" xr:uid="{00000000-0002-0000-0100-000000000000}">
      <formula1>0</formula1>
    </dataValidation>
    <dataValidation type="custom" showErrorMessage="1" errorTitle="Color no válido" error="Formato #RRGGBB, por ejemplo #F4511E." sqref="D5:D7" xr:uid="{00000000-0002-0000-0100-000001000000}">
      <formula1>AND(LEFT(D5,1)="#",LEN(D5)=7)</formula1>
    </dataValidation>
    <dataValidation type="decimal" operator="greaterThanOrEqual" showErrorMessage="1" errorTitle="Precio no válido" error="Debe ser 0 o mayor." sqref="B23" xr:uid="{00000000-0002-0000-0100-000002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4"/>
  <sheetViews>
    <sheetView showGridLines="0" tabSelected="1" workbookViewId="0">
      <pane xSplit="2" ySplit="4" topLeftCell="C15" activePane="bottomRight" state="frozen"/>
      <selection pane="topRight"/>
      <selection pane="bottomLeft"/>
      <selection pane="bottomRight" activeCell="C26" sqref="C26"/>
    </sheetView>
  </sheetViews>
  <sheetFormatPr baseColWidth="10" defaultColWidth="8.88671875" defaultRowHeight="14.4" x14ac:dyDescent="0.3"/>
  <cols>
    <col min="1" max="1" width="10" customWidth="1"/>
    <col min="2" max="2" width="34" customWidth="1"/>
    <col min="3" max="8" width="11" customWidth="1"/>
    <col min="9" max="9" width="10" customWidth="1"/>
    <col min="10" max="10" width="13" customWidth="1"/>
    <col min="11" max="11" width="12" customWidth="1"/>
    <col min="12" max="12" width="15" customWidth="1"/>
    <col min="13" max="13" width="44" customWidth="1"/>
    <col min="14" max="14" width="34" customWidth="1"/>
    <col min="15" max="15" width="2" customWidth="1"/>
    <col min="16" max="18" width="8" customWidth="1"/>
    <col min="19" max="19" width="10" customWidth="1"/>
    <col min="20" max="21" width="9" customWidth="1"/>
  </cols>
  <sheetData>
    <row r="1" spans="1:21" ht="21" customHeight="1" x14ac:dyDescent="0.4">
      <c r="A1" s="1" t="s">
        <v>0</v>
      </c>
      <c r="H1" s="12" t="str">
        <f>"Casillas en REVISAR: "&amp;COUNTIF(L5:L34,"REVISAR")</f>
        <v>Casillas en REVISAR: 0</v>
      </c>
    </row>
    <row r="2" spans="1:21" x14ac:dyDescent="0.3">
      <c r="A2" s="4" t="s">
        <v>1</v>
      </c>
      <c r="H2" s="13" t="str">
        <f>"Casillas NO ES POSIBLE: "&amp;COUNTIF(L5:L34,"NO ES POSIBLE")</f>
        <v>Casillas NO ES POSIBLE: 1</v>
      </c>
    </row>
    <row r="4" spans="1:21" ht="42" customHeight="1" x14ac:dyDescent="0.3">
      <c r="A4" s="5" t="s">
        <v>2</v>
      </c>
      <c r="B4" s="5" t="s">
        <v>3</v>
      </c>
      <c r="C4" s="5" t="str">
        <f>"Nº fichas "&amp;Valor_1&amp;" €"</f>
        <v>Nº fichas 3 €</v>
      </c>
      <c r="D4" s="5" t="str">
        <f>"Valor "&amp;Valor_1&amp;" € (€)"</f>
        <v>Valor 3 € (€)</v>
      </c>
      <c r="E4" s="5" t="str">
        <f>"Nº fichas "&amp;Valor_2&amp;" €"</f>
        <v>Nº fichas 5 €</v>
      </c>
      <c r="F4" s="5" t="str">
        <f>"Valor "&amp;Valor_2&amp;" € (€)"</f>
        <v>Valor 5 € (€)</v>
      </c>
      <c r="G4" s="5" t="str">
        <f>"Nº fichas "&amp;Valor_3&amp;" €"</f>
        <v>Nº fichas 7 €</v>
      </c>
      <c r="H4" s="5" t="str">
        <f>"Valor "&amp;Valor_3&amp;" € (€)"</f>
        <v>Valor 7 € (€)</v>
      </c>
      <c r="I4" s="5" t="s">
        <v>4</v>
      </c>
      <c r="J4" s="5" t="s">
        <v>5</v>
      </c>
      <c r="K4" s="5" t="s">
        <v>6</v>
      </c>
      <c r="L4" s="5" t="s">
        <v>7</v>
      </c>
      <c r="M4" s="5" t="s">
        <v>8</v>
      </c>
      <c r="N4" s="5" t="s">
        <v>9</v>
      </c>
      <c r="P4" s="14" t="s">
        <v>10</v>
      </c>
      <c r="Q4" s="14" t="s">
        <v>11</v>
      </c>
      <c r="R4" s="14" t="s">
        <v>12</v>
      </c>
      <c r="S4" s="14" t="s">
        <v>13</v>
      </c>
      <c r="T4" s="14" t="s">
        <v>14</v>
      </c>
      <c r="U4" s="14" t="s">
        <v>15</v>
      </c>
    </row>
    <row r="5" spans="1:21" ht="19.95" customHeight="1" x14ac:dyDescent="0.3">
      <c r="A5" s="15">
        <f t="shared" ref="A5:A10" si="0">Importe_1</f>
        <v>10</v>
      </c>
      <c r="B5" s="16" t="str">
        <f>"Solo "&amp;Valor_1&amp;" € ("&amp;Bebida_1&amp;")"</f>
        <v>Solo 3 € (Cerveza)</v>
      </c>
      <c r="C5" s="17">
        <v>3</v>
      </c>
      <c r="D5" s="18">
        <f>IF($S5&gt;$A5,"—",C5*Valor_1)</f>
        <v>9</v>
      </c>
      <c r="E5" s="19" t="s">
        <v>16</v>
      </c>
      <c r="F5" s="19" t="s">
        <v>16</v>
      </c>
      <c r="G5" s="19" t="s">
        <v>16</v>
      </c>
      <c r="H5" s="19" t="s">
        <v>16</v>
      </c>
      <c r="I5" s="20">
        <f t="shared" ref="I5:I34" si="1">IF($S5&gt;$A5,"—",SUM(C5,E5,G5))</f>
        <v>3</v>
      </c>
      <c r="J5" s="15">
        <f t="shared" ref="J5:J34" si="2">IF($S5&gt;$A5,"—",SUM(D5,F5,H5))</f>
        <v>9</v>
      </c>
      <c r="K5" s="21">
        <f t="shared" ref="K5:K34" si="3">IF($S5&gt;$A5,"—",A5-J5)</f>
        <v>1</v>
      </c>
      <c r="L5" s="22" t="str">
        <f t="shared" ref="L5:L34" si="4">IF($S5&gt;$A5,"NO ES POSIBLE",IF(OR(M5="",LEFT(M5,5)="Aviso"),"OK","REVISAR"))</f>
        <v>OK</v>
      </c>
      <c r="M5" s="16" t="str">
        <f t="shared" ref="M5:M34" si="5">IF($S5&gt;$A5,"No cabe ni 1 ficha de cada tipo en "&amp;A5&amp;" €",IF(OR(IF(P5=1,OR(N(C5)&lt;1,N(C5)&lt;&gt;INT(N(C5))),FALSE),IF(Q5=1,OR(N(E5)&lt;1,N(E5)&lt;&gt;INT(N(E5))),FALSE),IF(R5=1,OR(N(G5)&lt;1,N(G5)&lt;&gt;INT(N(G5))),FALSE)),"Falta el nº de fichas (entero, mínimo 1 de cada tipo)",IF(J5&gt;A5,"Las fichas ("&amp;J5&amp;" €) superan el importe",IF(K5&gt;T5,"Devolución mayor que "&amp;T5&amp;" € (ficha más alta): añade fichas",IF(K5&gt;=U5,"Aviso: aún cabría 1 ficha más de "&amp;U5&amp;" €","")))))</f>
        <v/>
      </c>
      <c r="N5" s="23" t="str">
        <f>IF($S5&gt;$A5,"NO ES POSIBLE",IF(CALC_SUGERENCIA!$D5=1,CALC_SUGERENCIA!$F5&amp;" × "&amp;CALC_SUGERENCIA!$B5&amp;" €",CALC_SUGERENCIA!$F5&amp;" × "&amp;CALC_SUGERENCIA!$B5&amp;" € + "&amp;CALC_SUGERENCIA!$G5&amp;" × "&amp;CALC_SUGERENCIA!$C5&amp;" €")&amp;"  → devuelve "&amp;CALC_SUGERENCIA!$H5&amp;" €")</f>
        <v>3 × 3 €  → devuelve 1 €</v>
      </c>
      <c r="P5" s="24">
        <v>1</v>
      </c>
      <c r="Q5" s="24">
        <v>0</v>
      </c>
      <c r="R5" s="24">
        <v>0</v>
      </c>
      <c r="S5" s="25">
        <f t="shared" ref="S5:S34" si="6">P5*Valor_1+Q5*Valor_2+R5*Valor_3</f>
        <v>3</v>
      </c>
      <c r="T5" s="25">
        <f t="shared" ref="T5:T34" si="7">MAX(P5*Valor_1,Q5*Valor_2,R5*Valor_3)</f>
        <v>3</v>
      </c>
      <c r="U5" s="25">
        <f t="shared" ref="U5:U34" si="8">MIN(IF(P5=1,Valor_1,9E+99),IF(Q5=1,Valor_2,9E+99),IF(R5=1,Valor_3,9E+99))</f>
        <v>3</v>
      </c>
    </row>
    <row r="6" spans="1:21" ht="19.95" customHeight="1" x14ac:dyDescent="0.3">
      <c r="A6" s="26">
        <f t="shared" si="0"/>
        <v>10</v>
      </c>
      <c r="B6" s="27" t="str">
        <f>"Solo "&amp;Valor_2&amp;" € ("&amp;Bebida_2&amp;")"</f>
        <v>Solo 5 € (Calimocho)</v>
      </c>
      <c r="C6" s="28" t="s">
        <v>16</v>
      </c>
      <c r="D6" s="28" t="s">
        <v>16</v>
      </c>
      <c r="E6" s="29">
        <v>2</v>
      </c>
      <c r="F6" s="30">
        <f>IF($S6&gt;$A6,"—",E6*Valor_2)</f>
        <v>10</v>
      </c>
      <c r="G6" s="28" t="s">
        <v>16</v>
      </c>
      <c r="H6" s="28" t="s">
        <v>16</v>
      </c>
      <c r="I6" s="31">
        <f t="shared" si="1"/>
        <v>2</v>
      </c>
      <c r="J6" s="26">
        <f t="shared" si="2"/>
        <v>10</v>
      </c>
      <c r="K6" s="32">
        <f t="shared" si="3"/>
        <v>0</v>
      </c>
      <c r="L6" s="33" t="str">
        <f t="shared" si="4"/>
        <v>OK</v>
      </c>
      <c r="M6" s="27" t="str">
        <f t="shared" si="5"/>
        <v/>
      </c>
      <c r="N6" s="34" t="str">
        <f>IF($S6&gt;$A6,"NO ES POSIBLE",IF(CALC_SUGERENCIA!$D6=1,CALC_SUGERENCIA!$F6&amp;" × "&amp;CALC_SUGERENCIA!$B6&amp;" €",CALC_SUGERENCIA!$F6&amp;" × "&amp;CALC_SUGERENCIA!$B6&amp;" € + "&amp;CALC_SUGERENCIA!$G6&amp;" × "&amp;CALC_SUGERENCIA!$C6&amp;" €")&amp;"  → devuelve "&amp;CALC_SUGERENCIA!$H6&amp;" €")</f>
        <v>2 × 5 €  → devuelve 0 €</v>
      </c>
      <c r="P6" s="35">
        <v>0</v>
      </c>
      <c r="Q6" s="35">
        <v>1</v>
      </c>
      <c r="R6" s="35">
        <v>0</v>
      </c>
      <c r="S6" s="36">
        <f t="shared" si="6"/>
        <v>5</v>
      </c>
      <c r="T6" s="36">
        <f t="shared" si="7"/>
        <v>5</v>
      </c>
      <c r="U6" s="36">
        <f t="shared" si="8"/>
        <v>5</v>
      </c>
    </row>
    <row r="7" spans="1:21" ht="19.95" customHeight="1" x14ac:dyDescent="0.3">
      <c r="A7" s="26">
        <f t="shared" si="0"/>
        <v>10</v>
      </c>
      <c r="B7" s="27" t="str">
        <f>"Solo "&amp;Valor_3&amp;" € ("&amp;Bebida_3&amp;")"</f>
        <v>Solo 7 € (Cubata)</v>
      </c>
      <c r="C7" s="28" t="s">
        <v>16</v>
      </c>
      <c r="D7" s="28" t="s">
        <v>16</v>
      </c>
      <c r="E7" s="28" t="s">
        <v>16</v>
      </c>
      <c r="F7" s="28" t="s">
        <v>16</v>
      </c>
      <c r="G7" s="29">
        <v>1</v>
      </c>
      <c r="H7" s="30">
        <f>IF($S7&gt;$A7,"—",G7*Valor_3)</f>
        <v>7</v>
      </c>
      <c r="I7" s="31">
        <f t="shared" si="1"/>
        <v>1</v>
      </c>
      <c r="J7" s="26">
        <f t="shared" si="2"/>
        <v>7</v>
      </c>
      <c r="K7" s="32">
        <f t="shared" si="3"/>
        <v>3</v>
      </c>
      <c r="L7" s="33" t="str">
        <f t="shared" si="4"/>
        <v>OK</v>
      </c>
      <c r="M7" s="27" t="str">
        <f t="shared" si="5"/>
        <v/>
      </c>
      <c r="N7" s="34" t="str">
        <f>IF($S7&gt;$A7,"NO ES POSIBLE",IF(CALC_SUGERENCIA!$D7=1,CALC_SUGERENCIA!$F7&amp;" × "&amp;CALC_SUGERENCIA!$B7&amp;" €",CALC_SUGERENCIA!$F7&amp;" × "&amp;CALC_SUGERENCIA!$B7&amp;" € + "&amp;CALC_SUGERENCIA!$G7&amp;" × "&amp;CALC_SUGERENCIA!$C7&amp;" €")&amp;"  → devuelve "&amp;CALC_SUGERENCIA!$H7&amp;" €")</f>
        <v>1 × 7 €  → devuelve 3 €</v>
      </c>
      <c r="P7" s="35">
        <v>0</v>
      </c>
      <c r="Q7" s="35">
        <v>0</v>
      </c>
      <c r="R7" s="35">
        <v>1</v>
      </c>
      <c r="S7" s="36">
        <f t="shared" si="6"/>
        <v>7</v>
      </c>
      <c r="T7" s="36">
        <f t="shared" si="7"/>
        <v>7</v>
      </c>
      <c r="U7" s="36">
        <f t="shared" si="8"/>
        <v>7</v>
      </c>
    </row>
    <row r="8" spans="1:21" ht="19.95" customHeight="1" x14ac:dyDescent="0.3">
      <c r="A8" s="26">
        <f t="shared" si="0"/>
        <v>10</v>
      </c>
      <c r="B8" s="27" t="str">
        <f>Valor_1&amp;" € + "&amp;Valor_2&amp;" € ("&amp;Bebida_1&amp;" + "&amp;Bebida_2&amp;")"</f>
        <v>3 € + 5 € (Cerveza + Calimocho)</v>
      </c>
      <c r="C8" s="29">
        <v>1</v>
      </c>
      <c r="D8" s="30">
        <f>IF($S8&gt;$A8,"—",C8*Valor_1)</f>
        <v>3</v>
      </c>
      <c r="E8" s="29">
        <v>1</v>
      </c>
      <c r="F8" s="30">
        <f>IF($S8&gt;$A8,"—",E8*Valor_2)</f>
        <v>5</v>
      </c>
      <c r="G8" s="28" t="s">
        <v>16</v>
      </c>
      <c r="H8" s="28" t="s">
        <v>16</v>
      </c>
      <c r="I8" s="31">
        <f t="shared" si="1"/>
        <v>2</v>
      </c>
      <c r="J8" s="26">
        <f t="shared" si="2"/>
        <v>8</v>
      </c>
      <c r="K8" s="32">
        <f t="shared" si="3"/>
        <v>2</v>
      </c>
      <c r="L8" s="33" t="str">
        <f t="shared" si="4"/>
        <v>OK</v>
      </c>
      <c r="M8" s="27" t="str">
        <f t="shared" si="5"/>
        <v/>
      </c>
      <c r="N8" s="34" t="str">
        <f>IF($S8&gt;$A8,"NO ES POSIBLE",IF(CALC_SUGERENCIA!$D8=1,CALC_SUGERENCIA!$F8&amp;" × "&amp;CALC_SUGERENCIA!$B8&amp;" €",CALC_SUGERENCIA!$F8&amp;" × "&amp;CALC_SUGERENCIA!$B8&amp;" € + "&amp;CALC_SUGERENCIA!$G8&amp;" × "&amp;CALC_SUGERENCIA!$C8&amp;" €")&amp;"  → devuelve "&amp;CALC_SUGERENCIA!$H8&amp;" €")</f>
        <v>1 × 3 € + 1 × 5 €  → devuelve 2 €</v>
      </c>
      <c r="P8" s="35">
        <v>1</v>
      </c>
      <c r="Q8" s="35">
        <v>1</v>
      </c>
      <c r="R8" s="35">
        <v>0</v>
      </c>
      <c r="S8" s="36">
        <f t="shared" si="6"/>
        <v>8</v>
      </c>
      <c r="T8" s="36">
        <f t="shared" si="7"/>
        <v>5</v>
      </c>
      <c r="U8" s="36">
        <f t="shared" si="8"/>
        <v>3</v>
      </c>
    </row>
    <row r="9" spans="1:21" ht="19.95" customHeight="1" x14ac:dyDescent="0.3">
      <c r="A9" s="26">
        <f t="shared" si="0"/>
        <v>10</v>
      </c>
      <c r="B9" s="27" t="str">
        <f>Valor_1&amp;" € + "&amp;Valor_3&amp;" € ("&amp;Bebida_1&amp;" + "&amp;Bebida_3&amp;")"</f>
        <v>3 € + 7 € (Cerveza + Cubata)</v>
      </c>
      <c r="C9" s="29">
        <v>1</v>
      </c>
      <c r="D9" s="30">
        <f>IF($S9&gt;$A9,"—",C9*Valor_1)</f>
        <v>3</v>
      </c>
      <c r="E9" s="28" t="s">
        <v>16</v>
      </c>
      <c r="F9" s="28" t="s">
        <v>16</v>
      </c>
      <c r="G9" s="29">
        <v>1</v>
      </c>
      <c r="H9" s="30">
        <f>IF($S9&gt;$A9,"—",G9*Valor_3)</f>
        <v>7</v>
      </c>
      <c r="I9" s="31">
        <f t="shared" si="1"/>
        <v>2</v>
      </c>
      <c r="J9" s="26">
        <f t="shared" si="2"/>
        <v>10</v>
      </c>
      <c r="K9" s="32">
        <f t="shared" si="3"/>
        <v>0</v>
      </c>
      <c r="L9" s="33" t="str">
        <f t="shared" si="4"/>
        <v>OK</v>
      </c>
      <c r="M9" s="27" t="str">
        <f t="shared" si="5"/>
        <v/>
      </c>
      <c r="N9" s="34" t="str">
        <f>IF($S9&gt;$A9,"NO ES POSIBLE",IF(CALC_SUGERENCIA!$D9=1,CALC_SUGERENCIA!$F9&amp;" × "&amp;CALC_SUGERENCIA!$B9&amp;" €",CALC_SUGERENCIA!$F9&amp;" × "&amp;CALC_SUGERENCIA!$B9&amp;" € + "&amp;CALC_SUGERENCIA!$G9&amp;" × "&amp;CALC_SUGERENCIA!$C9&amp;" €")&amp;"  → devuelve "&amp;CALC_SUGERENCIA!$H9&amp;" €")</f>
        <v>1 × 3 € + 1 × 7 €  → devuelve 0 €</v>
      </c>
      <c r="P9" s="35">
        <v>1</v>
      </c>
      <c r="Q9" s="35">
        <v>0</v>
      </c>
      <c r="R9" s="35">
        <v>1</v>
      </c>
      <c r="S9" s="36">
        <f t="shared" si="6"/>
        <v>10</v>
      </c>
      <c r="T9" s="36">
        <f t="shared" si="7"/>
        <v>7</v>
      </c>
      <c r="U9" s="36">
        <f t="shared" si="8"/>
        <v>3</v>
      </c>
    </row>
    <row r="10" spans="1:21" ht="19.95" customHeight="1" x14ac:dyDescent="0.3">
      <c r="A10" s="26">
        <f t="shared" si="0"/>
        <v>10</v>
      </c>
      <c r="B10" s="27" t="str">
        <f>Valor_2&amp;" € + "&amp;Valor_3&amp;" € ("&amp;Bebida_2&amp;" + "&amp;Bebida_3&amp;")"</f>
        <v>5 € + 7 € (Calimocho + Cubata)</v>
      </c>
      <c r="C10" s="28" t="s">
        <v>16</v>
      </c>
      <c r="D10" s="28" t="s">
        <v>16</v>
      </c>
      <c r="E10" s="29"/>
      <c r="F10" s="30" t="str">
        <f>IF($S10&gt;$A10,"—",E10*Valor_2)</f>
        <v>—</v>
      </c>
      <c r="G10" s="29"/>
      <c r="H10" s="30" t="str">
        <f>IF($S10&gt;$A10,"—",G10*Valor_3)</f>
        <v>—</v>
      </c>
      <c r="I10" s="31" t="str">
        <f t="shared" si="1"/>
        <v>—</v>
      </c>
      <c r="J10" s="26" t="str">
        <f t="shared" si="2"/>
        <v>—</v>
      </c>
      <c r="K10" s="32" t="str">
        <f t="shared" si="3"/>
        <v>—</v>
      </c>
      <c r="L10" s="33" t="str">
        <f t="shared" si="4"/>
        <v>NO ES POSIBLE</v>
      </c>
      <c r="M10" s="27" t="str">
        <f t="shared" si="5"/>
        <v>No cabe ni 1 ficha de cada tipo en 10 €</v>
      </c>
      <c r="N10" s="34" t="str">
        <f>IF($S10&gt;$A10,"NO ES POSIBLE",IF(CALC_SUGERENCIA!$D10=1,CALC_SUGERENCIA!$F10&amp;" × "&amp;CALC_SUGERENCIA!$B10&amp;" €",CALC_SUGERENCIA!$F10&amp;" × "&amp;CALC_SUGERENCIA!$B10&amp;" € + "&amp;CALC_SUGERENCIA!$G10&amp;" × "&amp;CALC_SUGERENCIA!$C10&amp;" €")&amp;"  → devuelve "&amp;CALC_SUGERENCIA!$H10&amp;" €")</f>
        <v>NO ES POSIBLE</v>
      </c>
      <c r="P10" s="35">
        <v>0</v>
      </c>
      <c r="Q10" s="35">
        <v>1</v>
      </c>
      <c r="R10" s="35">
        <v>1</v>
      </c>
      <c r="S10" s="36">
        <f t="shared" si="6"/>
        <v>12</v>
      </c>
      <c r="T10" s="36">
        <f t="shared" si="7"/>
        <v>7</v>
      </c>
      <c r="U10" s="36">
        <f t="shared" si="8"/>
        <v>5</v>
      </c>
    </row>
    <row r="11" spans="1:21" ht="19.95" customHeight="1" x14ac:dyDescent="0.3">
      <c r="A11" s="15">
        <f t="shared" ref="A11:A16" si="9">Importe_2</f>
        <v>20</v>
      </c>
      <c r="B11" s="16" t="str">
        <f>"Solo "&amp;Valor_1&amp;" € ("&amp;Bebida_1&amp;")"</f>
        <v>Solo 3 € (Cerveza)</v>
      </c>
      <c r="C11" s="17">
        <v>6</v>
      </c>
      <c r="D11" s="18">
        <f>IF($S11&gt;$A11,"—",C11*Valor_1)</f>
        <v>18</v>
      </c>
      <c r="E11" s="19" t="s">
        <v>16</v>
      </c>
      <c r="F11" s="19" t="s">
        <v>16</v>
      </c>
      <c r="G11" s="19" t="s">
        <v>16</v>
      </c>
      <c r="H11" s="19" t="s">
        <v>16</v>
      </c>
      <c r="I11" s="20">
        <f t="shared" si="1"/>
        <v>6</v>
      </c>
      <c r="J11" s="15">
        <f t="shared" si="2"/>
        <v>18</v>
      </c>
      <c r="K11" s="21">
        <f t="shared" si="3"/>
        <v>2</v>
      </c>
      <c r="L11" s="22" t="str">
        <f t="shared" si="4"/>
        <v>OK</v>
      </c>
      <c r="M11" s="16" t="str">
        <f t="shared" si="5"/>
        <v/>
      </c>
      <c r="N11" s="23" t="str">
        <f>IF($S11&gt;$A11,"NO ES POSIBLE",IF(CALC_SUGERENCIA!$D11=1,CALC_SUGERENCIA!$F11&amp;" × "&amp;CALC_SUGERENCIA!$B11&amp;" €",CALC_SUGERENCIA!$F11&amp;" × "&amp;CALC_SUGERENCIA!$B11&amp;" € + "&amp;CALC_SUGERENCIA!$G11&amp;" × "&amp;CALC_SUGERENCIA!$C11&amp;" €")&amp;"  → devuelve "&amp;CALC_SUGERENCIA!$H11&amp;" €")</f>
        <v>6 × 3 €  → devuelve 2 €</v>
      </c>
      <c r="P11" s="24">
        <v>1</v>
      </c>
      <c r="Q11" s="24">
        <v>0</v>
      </c>
      <c r="R11" s="24">
        <v>0</v>
      </c>
      <c r="S11" s="25">
        <f t="shared" si="6"/>
        <v>3</v>
      </c>
      <c r="T11" s="25">
        <f t="shared" si="7"/>
        <v>3</v>
      </c>
      <c r="U11" s="25">
        <f t="shared" si="8"/>
        <v>3</v>
      </c>
    </row>
    <row r="12" spans="1:21" ht="19.95" customHeight="1" x14ac:dyDescent="0.3">
      <c r="A12" s="26">
        <f t="shared" si="9"/>
        <v>20</v>
      </c>
      <c r="B12" s="27" t="str">
        <f>"Solo "&amp;Valor_2&amp;" € ("&amp;Bebida_2&amp;")"</f>
        <v>Solo 5 € (Calimocho)</v>
      </c>
      <c r="C12" s="28" t="s">
        <v>16</v>
      </c>
      <c r="D12" s="28" t="s">
        <v>16</v>
      </c>
      <c r="E12" s="29">
        <v>4</v>
      </c>
      <c r="F12" s="30">
        <f>IF($S12&gt;$A12,"—",E12*Valor_2)</f>
        <v>20</v>
      </c>
      <c r="G12" s="28" t="s">
        <v>16</v>
      </c>
      <c r="H12" s="28" t="s">
        <v>16</v>
      </c>
      <c r="I12" s="31">
        <f t="shared" si="1"/>
        <v>4</v>
      </c>
      <c r="J12" s="26">
        <f t="shared" si="2"/>
        <v>20</v>
      </c>
      <c r="K12" s="32">
        <f t="shared" si="3"/>
        <v>0</v>
      </c>
      <c r="L12" s="33" t="str">
        <f t="shared" si="4"/>
        <v>OK</v>
      </c>
      <c r="M12" s="27" t="str">
        <f t="shared" si="5"/>
        <v/>
      </c>
      <c r="N12" s="34" t="str">
        <f>IF($S12&gt;$A12,"NO ES POSIBLE",IF(CALC_SUGERENCIA!$D12=1,CALC_SUGERENCIA!$F12&amp;" × "&amp;CALC_SUGERENCIA!$B12&amp;" €",CALC_SUGERENCIA!$F12&amp;" × "&amp;CALC_SUGERENCIA!$B12&amp;" € + "&amp;CALC_SUGERENCIA!$G12&amp;" × "&amp;CALC_SUGERENCIA!$C12&amp;" €")&amp;"  → devuelve "&amp;CALC_SUGERENCIA!$H12&amp;" €")</f>
        <v>4 × 5 €  → devuelve 0 €</v>
      </c>
      <c r="P12" s="35">
        <v>0</v>
      </c>
      <c r="Q12" s="35">
        <v>1</v>
      </c>
      <c r="R12" s="35">
        <v>0</v>
      </c>
      <c r="S12" s="36">
        <f t="shared" si="6"/>
        <v>5</v>
      </c>
      <c r="T12" s="36">
        <f t="shared" si="7"/>
        <v>5</v>
      </c>
      <c r="U12" s="36">
        <f t="shared" si="8"/>
        <v>5</v>
      </c>
    </row>
    <row r="13" spans="1:21" ht="19.95" customHeight="1" x14ac:dyDescent="0.3">
      <c r="A13" s="26">
        <f t="shared" si="9"/>
        <v>20</v>
      </c>
      <c r="B13" s="27" t="str">
        <f>"Solo "&amp;Valor_3&amp;" € ("&amp;Bebida_3&amp;")"</f>
        <v>Solo 7 € (Cubata)</v>
      </c>
      <c r="C13" s="28" t="s">
        <v>16</v>
      </c>
      <c r="D13" s="28" t="s">
        <v>16</v>
      </c>
      <c r="E13" s="28" t="s">
        <v>16</v>
      </c>
      <c r="F13" s="28" t="s">
        <v>16</v>
      </c>
      <c r="G13" s="29">
        <v>2</v>
      </c>
      <c r="H13" s="30">
        <f>IF($S13&gt;$A13,"—",G13*Valor_3)</f>
        <v>14</v>
      </c>
      <c r="I13" s="31">
        <f t="shared" si="1"/>
        <v>2</v>
      </c>
      <c r="J13" s="26">
        <f t="shared" si="2"/>
        <v>14</v>
      </c>
      <c r="K13" s="32">
        <f t="shared" si="3"/>
        <v>6</v>
      </c>
      <c r="L13" s="33" t="str">
        <f t="shared" si="4"/>
        <v>OK</v>
      </c>
      <c r="M13" s="27" t="str">
        <f t="shared" si="5"/>
        <v/>
      </c>
      <c r="N13" s="34" t="str">
        <f>IF($S13&gt;$A13,"NO ES POSIBLE",IF(CALC_SUGERENCIA!$D13=1,CALC_SUGERENCIA!$F13&amp;" × "&amp;CALC_SUGERENCIA!$B13&amp;" €",CALC_SUGERENCIA!$F13&amp;" × "&amp;CALC_SUGERENCIA!$B13&amp;" € + "&amp;CALC_SUGERENCIA!$G13&amp;" × "&amp;CALC_SUGERENCIA!$C13&amp;" €")&amp;"  → devuelve "&amp;CALC_SUGERENCIA!$H13&amp;" €")</f>
        <v>2 × 7 €  → devuelve 6 €</v>
      </c>
      <c r="P13" s="35">
        <v>0</v>
      </c>
      <c r="Q13" s="35">
        <v>0</v>
      </c>
      <c r="R13" s="35">
        <v>1</v>
      </c>
      <c r="S13" s="36">
        <f t="shared" si="6"/>
        <v>7</v>
      </c>
      <c r="T13" s="36">
        <f t="shared" si="7"/>
        <v>7</v>
      </c>
      <c r="U13" s="36">
        <f t="shared" si="8"/>
        <v>7</v>
      </c>
    </row>
    <row r="14" spans="1:21" ht="19.95" customHeight="1" x14ac:dyDescent="0.3">
      <c r="A14" s="26">
        <f t="shared" si="9"/>
        <v>20</v>
      </c>
      <c r="B14" s="27" t="str">
        <f>Valor_1&amp;" € + "&amp;Valor_2&amp;" € ("&amp;Bebida_1&amp;" + "&amp;Bebida_2&amp;")"</f>
        <v>3 € + 5 € (Cerveza + Calimocho)</v>
      </c>
      <c r="C14" s="29">
        <v>3</v>
      </c>
      <c r="D14" s="30">
        <f>IF($S14&gt;$A14,"—",C14*Valor_1)</f>
        <v>9</v>
      </c>
      <c r="E14" s="29">
        <v>2</v>
      </c>
      <c r="F14" s="30">
        <f>IF($S14&gt;$A14,"—",E14*Valor_2)</f>
        <v>10</v>
      </c>
      <c r="G14" s="28" t="s">
        <v>16</v>
      </c>
      <c r="H14" s="28" t="s">
        <v>16</v>
      </c>
      <c r="I14" s="31">
        <f t="shared" si="1"/>
        <v>5</v>
      </c>
      <c r="J14" s="26">
        <f t="shared" si="2"/>
        <v>19</v>
      </c>
      <c r="K14" s="32">
        <f t="shared" si="3"/>
        <v>1</v>
      </c>
      <c r="L14" s="33" t="str">
        <f t="shared" si="4"/>
        <v>OK</v>
      </c>
      <c r="M14" s="27" t="str">
        <f t="shared" si="5"/>
        <v/>
      </c>
      <c r="N14" s="34" t="str">
        <f>IF($S14&gt;$A14,"NO ES POSIBLE",IF(CALC_SUGERENCIA!$D14=1,CALC_SUGERENCIA!$F14&amp;" × "&amp;CALC_SUGERENCIA!$B14&amp;" €",CALC_SUGERENCIA!$F14&amp;" × "&amp;CALC_SUGERENCIA!$B14&amp;" € + "&amp;CALC_SUGERENCIA!$G14&amp;" × "&amp;CALC_SUGERENCIA!$C14&amp;" €")&amp;"  → devuelve "&amp;CALC_SUGERENCIA!$H14&amp;" €")</f>
        <v>5 × 3 € + 1 × 5 €  → devuelve 0 €</v>
      </c>
      <c r="P14" s="35">
        <v>1</v>
      </c>
      <c r="Q14" s="35">
        <v>1</v>
      </c>
      <c r="R14" s="35">
        <v>0</v>
      </c>
      <c r="S14" s="36">
        <f t="shared" si="6"/>
        <v>8</v>
      </c>
      <c r="T14" s="36">
        <f t="shared" si="7"/>
        <v>5</v>
      </c>
      <c r="U14" s="36">
        <f t="shared" si="8"/>
        <v>3</v>
      </c>
    </row>
    <row r="15" spans="1:21" ht="19.95" customHeight="1" x14ac:dyDescent="0.3">
      <c r="A15" s="26">
        <f t="shared" si="9"/>
        <v>20</v>
      </c>
      <c r="B15" s="27" t="str">
        <f>Valor_1&amp;" € + "&amp;Valor_3&amp;" € ("&amp;Bebida_1&amp;" + "&amp;Bebida_3&amp;")"</f>
        <v>3 € + 7 € (Cerveza + Cubata)</v>
      </c>
      <c r="C15" s="29">
        <v>2</v>
      </c>
      <c r="D15" s="30">
        <f>IF($S15&gt;$A15,"—",C15*Valor_1)</f>
        <v>6</v>
      </c>
      <c r="E15" s="28" t="s">
        <v>16</v>
      </c>
      <c r="F15" s="28" t="s">
        <v>16</v>
      </c>
      <c r="G15" s="29">
        <v>2</v>
      </c>
      <c r="H15" s="30">
        <f>IF($S15&gt;$A15,"—",G15*Valor_3)</f>
        <v>14</v>
      </c>
      <c r="I15" s="31">
        <f t="shared" si="1"/>
        <v>4</v>
      </c>
      <c r="J15" s="26">
        <f t="shared" si="2"/>
        <v>20</v>
      </c>
      <c r="K15" s="32">
        <f t="shared" si="3"/>
        <v>0</v>
      </c>
      <c r="L15" s="33" t="str">
        <f t="shared" si="4"/>
        <v>OK</v>
      </c>
      <c r="M15" s="27" t="str">
        <f t="shared" si="5"/>
        <v/>
      </c>
      <c r="N15" s="34" t="str">
        <f>IF($S15&gt;$A15,"NO ES POSIBLE",IF(CALC_SUGERENCIA!$D15=1,CALC_SUGERENCIA!$F15&amp;" × "&amp;CALC_SUGERENCIA!$B15&amp;" €",CALC_SUGERENCIA!$F15&amp;" × "&amp;CALC_SUGERENCIA!$B15&amp;" € + "&amp;CALC_SUGERENCIA!$G15&amp;" × "&amp;CALC_SUGERENCIA!$C15&amp;" €")&amp;"  → devuelve "&amp;CALC_SUGERENCIA!$H15&amp;" €")</f>
        <v>2 × 3 € + 2 × 7 €  → devuelve 0 €</v>
      </c>
      <c r="P15" s="35">
        <v>1</v>
      </c>
      <c r="Q15" s="35">
        <v>0</v>
      </c>
      <c r="R15" s="35">
        <v>1</v>
      </c>
      <c r="S15" s="36">
        <f t="shared" si="6"/>
        <v>10</v>
      </c>
      <c r="T15" s="36">
        <f t="shared" si="7"/>
        <v>7</v>
      </c>
      <c r="U15" s="36">
        <f t="shared" si="8"/>
        <v>3</v>
      </c>
    </row>
    <row r="16" spans="1:21" ht="19.95" customHeight="1" x14ac:dyDescent="0.3">
      <c r="A16" s="26">
        <f t="shared" si="9"/>
        <v>20</v>
      </c>
      <c r="B16" s="27" t="str">
        <f>Valor_2&amp;" € + "&amp;Valor_3&amp;" € ("&amp;Bebida_2&amp;" + "&amp;Bebida_3&amp;")"</f>
        <v>5 € + 7 € (Calimocho + Cubata)</v>
      </c>
      <c r="C16" s="28" t="s">
        <v>16</v>
      </c>
      <c r="D16" s="28" t="s">
        <v>16</v>
      </c>
      <c r="E16" s="29">
        <v>1</v>
      </c>
      <c r="F16" s="30">
        <f>IF($S16&gt;$A16,"—",E16*Valor_2)</f>
        <v>5</v>
      </c>
      <c r="G16" s="29">
        <v>2</v>
      </c>
      <c r="H16" s="30">
        <f>IF($S16&gt;$A16,"—",G16*Valor_3)</f>
        <v>14</v>
      </c>
      <c r="I16" s="31">
        <f t="shared" si="1"/>
        <v>3</v>
      </c>
      <c r="J16" s="26">
        <f t="shared" si="2"/>
        <v>19</v>
      </c>
      <c r="K16" s="32">
        <f t="shared" si="3"/>
        <v>1</v>
      </c>
      <c r="L16" s="33" t="str">
        <f t="shared" si="4"/>
        <v>OK</v>
      </c>
      <c r="M16" s="27" t="str">
        <f t="shared" si="5"/>
        <v/>
      </c>
      <c r="N16" s="34" t="str">
        <f>IF($S16&gt;$A16,"NO ES POSIBLE",IF(CALC_SUGERENCIA!$D16=1,CALC_SUGERENCIA!$F16&amp;" × "&amp;CALC_SUGERENCIA!$B16&amp;" €",CALC_SUGERENCIA!$F16&amp;" × "&amp;CALC_SUGERENCIA!$B16&amp;" € + "&amp;CALC_SUGERENCIA!$G16&amp;" × "&amp;CALC_SUGERENCIA!$C16&amp;" €")&amp;"  → devuelve "&amp;CALC_SUGERENCIA!$H16&amp;" €")</f>
        <v>1 × 5 € + 2 × 7 €  → devuelve 1 €</v>
      </c>
      <c r="P16" s="35">
        <v>0</v>
      </c>
      <c r="Q16" s="35">
        <v>1</v>
      </c>
      <c r="R16" s="35">
        <v>1</v>
      </c>
      <c r="S16" s="36">
        <f t="shared" si="6"/>
        <v>12</v>
      </c>
      <c r="T16" s="36">
        <f t="shared" si="7"/>
        <v>7</v>
      </c>
      <c r="U16" s="36">
        <f t="shared" si="8"/>
        <v>5</v>
      </c>
    </row>
    <row r="17" spans="1:21" ht="19.95" customHeight="1" x14ac:dyDescent="0.3">
      <c r="A17" s="15">
        <f t="shared" ref="A17:A22" si="10">Importe_3</f>
        <v>50</v>
      </c>
      <c r="B17" s="16" t="str">
        <f>"Solo "&amp;Valor_1&amp;" € ("&amp;Bebida_1&amp;")"</f>
        <v>Solo 3 € (Cerveza)</v>
      </c>
      <c r="C17" s="17">
        <v>16</v>
      </c>
      <c r="D17" s="18">
        <f>IF($S17&gt;$A17,"—",C17*Valor_1)</f>
        <v>48</v>
      </c>
      <c r="E17" s="19" t="s">
        <v>16</v>
      </c>
      <c r="F17" s="19" t="s">
        <v>16</v>
      </c>
      <c r="G17" s="19" t="s">
        <v>16</v>
      </c>
      <c r="H17" s="19" t="s">
        <v>16</v>
      </c>
      <c r="I17" s="20">
        <f t="shared" si="1"/>
        <v>16</v>
      </c>
      <c r="J17" s="15">
        <f t="shared" si="2"/>
        <v>48</v>
      </c>
      <c r="K17" s="21">
        <f t="shared" si="3"/>
        <v>2</v>
      </c>
      <c r="L17" s="22" t="str">
        <f t="shared" si="4"/>
        <v>OK</v>
      </c>
      <c r="M17" s="16" t="str">
        <f t="shared" si="5"/>
        <v/>
      </c>
      <c r="N17" s="23" t="str">
        <f>IF($S17&gt;$A17,"NO ES POSIBLE",IF(CALC_SUGERENCIA!$D17=1,CALC_SUGERENCIA!$F17&amp;" × "&amp;CALC_SUGERENCIA!$B17&amp;" €",CALC_SUGERENCIA!$F17&amp;" × "&amp;CALC_SUGERENCIA!$B17&amp;" € + "&amp;CALC_SUGERENCIA!$G17&amp;" × "&amp;CALC_SUGERENCIA!$C17&amp;" €")&amp;"  → devuelve "&amp;CALC_SUGERENCIA!$H17&amp;" €")</f>
        <v>16 × 3 €  → devuelve 2 €</v>
      </c>
      <c r="P17" s="24">
        <v>1</v>
      </c>
      <c r="Q17" s="24">
        <v>0</v>
      </c>
      <c r="R17" s="24">
        <v>0</v>
      </c>
      <c r="S17" s="25">
        <f t="shared" si="6"/>
        <v>3</v>
      </c>
      <c r="T17" s="25">
        <f t="shared" si="7"/>
        <v>3</v>
      </c>
      <c r="U17" s="25">
        <f t="shared" si="8"/>
        <v>3</v>
      </c>
    </row>
    <row r="18" spans="1:21" ht="19.95" customHeight="1" x14ac:dyDescent="0.3">
      <c r="A18" s="26">
        <f t="shared" si="10"/>
        <v>50</v>
      </c>
      <c r="B18" s="27" t="str">
        <f>"Solo "&amp;Valor_2&amp;" € ("&amp;Bebida_2&amp;")"</f>
        <v>Solo 5 € (Calimocho)</v>
      </c>
      <c r="C18" s="28" t="s">
        <v>16</v>
      </c>
      <c r="D18" s="28" t="s">
        <v>16</v>
      </c>
      <c r="E18" s="29">
        <v>10</v>
      </c>
      <c r="F18" s="30">
        <f>IF($S18&gt;$A18,"—",E18*Valor_2)</f>
        <v>50</v>
      </c>
      <c r="G18" s="28" t="s">
        <v>16</v>
      </c>
      <c r="H18" s="28" t="s">
        <v>16</v>
      </c>
      <c r="I18" s="31">
        <f t="shared" si="1"/>
        <v>10</v>
      </c>
      <c r="J18" s="26">
        <f t="shared" si="2"/>
        <v>50</v>
      </c>
      <c r="K18" s="32">
        <f t="shared" si="3"/>
        <v>0</v>
      </c>
      <c r="L18" s="33" t="str">
        <f t="shared" si="4"/>
        <v>OK</v>
      </c>
      <c r="M18" s="27" t="str">
        <f t="shared" si="5"/>
        <v/>
      </c>
      <c r="N18" s="34" t="str">
        <f>IF($S18&gt;$A18,"NO ES POSIBLE",IF(CALC_SUGERENCIA!$D18=1,CALC_SUGERENCIA!$F18&amp;" × "&amp;CALC_SUGERENCIA!$B18&amp;" €",CALC_SUGERENCIA!$F18&amp;" × "&amp;CALC_SUGERENCIA!$B18&amp;" € + "&amp;CALC_SUGERENCIA!$G18&amp;" × "&amp;CALC_SUGERENCIA!$C18&amp;" €")&amp;"  → devuelve "&amp;CALC_SUGERENCIA!$H18&amp;" €")</f>
        <v>10 × 5 €  → devuelve 0 €</v>
      </c>
      <c r="P18" s="35">
        <v>0</v>
      </c>
      <c r="Q18" s="35">
        <v>1</v>
      </c>
      <c r="R18" s="35">
        <v>0</v>
      </c>
      <c r="S18" s="36">
        <f t="shared" si="6"/>
        <v>5</v>
      </c>
      <c r="T18" s="36">
        <f t="shared" si="7"/>
        <v>5</v>
      </c>
      <c r="U18" s="36">
        <f t="shared" si="8"/>
        <v>5</v>
      </c>
    </row>
    <row r="19" spans="1:21" ht="19.95" customHeight="1" x14ac:dyDescent="0.3">
      <c r="A19" s="26">
        <f t="shared" si="10"/>
        <v>50</v>
      </c>
      <c r="B19" s="27" t="str">
        <f>"Solo "&amp;Valor_3&amp;" € ("&amp;Bebida_3&amp;")"</f>
        <v>Solo 7 € (Cubata)</v>
      </c>
      <c r="C19" s="28" t="s">
        <v>16</v>
      </c>
      <c r="D19" s="28" t="s">
        <v>16</v>
      </c>
      <c r="E19" s="28" t="s">
        <v>16</v>
      </c>
      <c r="F19" s="28" t="s">
        <v>16</v>
      </c>
      <c r="G19" s="29">
        <v>7</v>
      </c>
      <c r="H19" s="30">
        <f>IF($S19&gt;$A19,"—",G19*Valor_3)</f>
        <v>49</v>
      </c>
      <c r="I19" s="31">
        <f t="shared" si="1"/>
        <v>7</v>
      </c>
      <c r="J19" s="26">
        <f t="shared" si="2"/>
        <v>49</v>
      </c>
      <c r="K19" s="32">
        <f t="shared" si="3"/>
        <v>1</v>
      </c>
      <c r="L19" s="33" t="str">
        <f t="shared" si="4"/>
        <v>OK</v>
      </c>
      <c r="M19" s="27" t="str">
        <f t="shared" si="5"/>
        <v/>
      </c>
      <c r="N19" s="34" t="str">
        <f>IF($S19&gt;$A19,"NO ES POSIBLE",IF(CALC_SUGERENCIA!$D19=1,CALC_SUGERENCIA!$F19&amp;" × "&amp;CALC_SUGERENCIA!$B19&amp;" €",CALC_SUGERENCIA!$F19&amp;" × "&amp;CALC_SUGERENCIA!$B19&amp;" € + "&amp;CALC_SUGERENCIA!$G19&amp;" × "&amp;CALC_SUGERENCIA!$C19&amp;" €")&amp;"  → devuelve "&amp;CALC_SUGERENCIA!$H19&amp;" €")</f>
        <v>7 × 7 €  → devuelve 1 €</v>
      </c>
      <c r="P19" s="35">
        <v>0</v>
      </c>
      <c r="Q19" s="35">
        <v>0</v>
      </c>
      <c r="R19" s="35">
        <v>1</v>
      </c>
      <c r="S19" s="36">
        <f t="shared" si="6"/>
        <v>7</v>
      </c>
      <c r="T19" s="36">
        <f t="shared" si="7"/>
        <v>7</v>
      </c>
      <c r="U19" s="36">
        <f t="shared" si="8"/>
        <v>7</v>
      </c>
    </row>
    <row r="20" spans="1:21" ht="19.95" customHeight="1" x14ac:dyDescent="0.3">
      <c r="A20" s="26">
        <f t="shared" si="10"/>
        <v>50</v>
      </c>
      <c r="B20" s="27" t="str">
        <f>Valor_1&amp;" € + "&amp;Valor_2&amp;" € ("&amp;Bebida_1&amp;" + "&amp;Bebida_2&amp;")"</f>
        <v>3 € + 5 € (Cerveza + Calimocho)</v>
      </c>
      <c r="C20" s="29">
        <v>6</v>
      </c>
      <c r="D20" s="30">
        <f>IF($S20&gt;$A20,"—",C20*Valor_1)</f>
        <v>18</v>
      </c>
      <c r="E20" s="29">
        <v>6</v>
      </c>
      <c r="F20" s="30">
        <f>IF($S20&gt;$A20,"—",E20*Valor_2)</f>
        <v>30</v>
      </c>
      <c r="G20" s="28" t="s">
        <v>16</v>
      </c>
      <c r="H20" s="28" t="s">
        <v>16</v>
      </c>
      <c r="I20" s="31">
        <f t="shared" si="1"/>
        <v>12</v>
      </c>
      <c r="J20" s="26">
        <f t="shared" si="2"/>
        <v>48</v>
      </c>
      <c r="K20" s="32">
        <f t="shared" si="3"/>
        <v>2</v>
      </c>
      <c r="L20" s="33" t="str">
        <f t="shared" si="4"/>
        <v>OK</v>
      </c>
      <c r="M20" s="27" t="str">
        <f t="shared" si="5"/>
        <v/>
      </c>
      <c r="N20" s="34" t="str">
        <f>IF($S20&gt;$A20,"NO ES POSIBLE",IF(CALC_SUGERENCIA!$D20=1,CALC_SUGERENCIA!$F20&amp;" × "&amp;CALC_SUGERENCIA!$B20&amp;" €",CALC_SUGERENCIA!$F20&amp;" × "&amp;CALC_SUGERENCIA!$B20&amp;" € + "&amp;CALC_SUGERENCIA!$G20&amp;" × "&amp;CALC_SUGERENCIA!$C20&amp;" €")&amp;"  → devuelve "&amp;CALC_SUGERENCIA!$H20&amp;" €")</f>
        <v>15 × 3 € + 1 × 5 €  → devuelve 0 €</v>
      </c>
      <c r="P20" s="35">
        <v>1</v>
      </c>
      <c r="Q20" s="35">
        <v>1</v>
      </c>
      <c r="R20" s="35">
        <v>0</v>
      </c>
      <c r="S20" s="36">
        <f t="shared" si="6"/>
        <v>8</v>
      </c>
      <c r="T20" s="36">
        <f t="shared" si="7"/>
        <v>5</v>
      </c>
      <c r="U20" s="36">
        <f t="shared" si="8"/>
        <v>3</v>
      </c>
    </row>
    <row r="21" spans="1:21" ht="19.95" customHeight="1" x14ac:dyDescent="0.3">
      <c r="A21" s="26">
        <f t="shared" si="10"/>
        <v>50</v>
      </c>
      <c r="B21" s="27" t="str">
        <f>Valor_1&amp;" € + "&amp;Valor_3&amp;" € ("&amp;Bebida_1&amp;" + "&amp;Bebida_3&amp;")"</f>
        <v>3 € + 7 € (Cerveza + Cubata)</v>
      </c>
      <c r="C21" s="29">
        <v>5</v>
      </c>
      <c r="D21" s="30">
        <f>IF($S21&gt;$A21,"—",C21*Valor_1)</f>
        <v>15</v>
      </c>
      <c r="E21" s="28" t="s">
        <v>16</v>
      </c>
      <c r="F21" s="28" t="s">
        <v>16</v>
      </c>
      <c r="G21" s="29">
        <v>5</v>
      </c>
      <c r="H21" s="30">
        <f>IF($S21&gt;$A21,"—",G21*Valor_3)</f>
        <v>35</v>
      </c>
      <c r="I21" s="31">
        <f t="shared" si="1"/>
        <v>10</v>
      </c>
      <c r="J21" s="26">
        <f t="shared" si="2"/>
        <v>50</v>
      </c>
      <c r="K21" s="32">
        <f t="shared" si="3"/>
        <v>0</v>
      </c>
      <c r="L21" s="33" t="str">
        <f t="shared" si="4"/>
        <v>OK</v>
      </c>
      <c r="M21" s="27" t="str">
        <f t="shared" si="5"/>
        <v/>
      </c>
      <c r="N21" s="34" t="str">
        <f>IF($S21&gt;$A21,"NO ES POSIBLE",IF(CALC_SUGERENCIA!$D21=1,CALC_SUGERENCIA!$F21&amp;" × "&amp;CALC_SUGERENCIA!$B21&amp;" €",CALC_SUGERENCIA!$F21&amp;" × "&amp;CALC_SUGERENCIA!$B21&amp;" € + "&amp;CALC_SUGERENCIA!$G21&amp;" × "&amp;CALC_SUGERENCIA!$C21&amp;" €")&amp;"  → devuelve "&amp;CALC_SUGERENCIA!$H21&amp;" €")</f>
        <v>12 × 3 € + 2 × 7 €  → devuelve 0 €</v>
      </c>
      <c r="P21" s="35">
        <v>1</v>
      </c>
      <c r="Q21" s="35">
        <v>0</v>
      </c>
      <c r="R21" s="35">
        <v>1</v>
      </c>
      <c r="S21" s="36">
        <f t="shared" si="6"/>
        <v>10</v>
      </c>
      <c r="T21" s="36">
        <f t="shared" si="7"/>
        <v>7</v>
      </c>
      <c r="U21" s="36">
        <f t="shared" si="8"/>
        <v>3</v>
      </c>
    </row>
    <row r="22" spans="1:21" ht="19.95" customHeight="1" x14ac:dyDescent="0.3">
      <c r="A22" s="26">
        <f t="shared" si="10"/>
        <v>50</v>
      </c>
      <c r="B22" s="27" t="str">
        <f>Valor_2&amp;" € + "&amp;Valor_3&amp;" € ("&amp;Bebida_2&amp;" + "&amp;Bebida_3&amp;")"</f>
        <v>5 € + 7 € (Calimocho + Cubata)</v>
      </c>
      <c r="C22" s="28" t="s">
        <v>16</v>
      </c>
      <c r="D22" s="28" t="s">
        <v>16</v>
      </c>
      <c r="E22" s="29">
        <v>3</v>
      </c>
      <c r="F22" s="30">
        <f>IF($S22&gt;$A22,"—",E22*Valor_2)</f>
        <v>15</v>
      </c>
      <c r="G22" s="29">
        <v>5</v>
      </c>
      <c r="H22" s="30">
        <f>IF($S22&gt;$A22,"—",G22*Valor_3)</f>
        <v>35</v>
      </c>
      <c r="I22" s="31">
        <f t="shared" si="1"/>
        <v>8</v>
      </c>
      <c r="J22" s="26">
        <f t="shared" si="2"/>
        <v>50</v>
      </c>
      <c r="K22" s="32">
        <f t="shared" si="3"/>
        <v>0</v>
      </c>
      <c r="L22" s="33" t="str">
        <f t="shared" si="4"/>
        <v>OK</v>
      </c>
      <c r="M22" s="27" t="str">
        <f t="shared" si="5"/>
        <v/>
      </c>
      <c r="N22" s="34" t="str">
        <f>IF($S22&gt;$A22,"NO ES POSIBLE",IF(CALC_SUGERENCIA!$D22=1,CALC_SUGERENCIA!$F22&amp;" × "&amp;CALC_SUGERENCIA!$B22&amp;" €",CALC_SUGERENCIA!$F22&amp;" × "&amp;CALC_SUGERENCIA!$B22&amp;" € + "&amp;CALC_SUGERENCIA!$G22&amp;" × "&amp;CALC_SUGERENCIA!$C22&amp;" €")&amp;"  → devuelve "&amp;CALC_SUGERENCIA!$H22&amp;" €")</f>
        <v>3 × 5 € + 5 × 7 €  → devuelve 0 €</v>
      </c>
      <c r="P22" s="35">
        <v>0</v>
      </c>
      <c r="Q22" s="35">
        <v>1</v>
      </c>
      <c r="R22" s="35">
        <v>1</v>
      </c>
      <c r="S22" s="36">
        <f t="shared" si="6"/>
        <v>12</v>
      </c>
      <c r="T22" s="36">
        <f t="shared" si="7"/>
        <v>7</v>
      </c>
      <c r="U22" s="36">
        <f t="shared" si="8"/>
        <v>5</v>
      </c>
    </row>
    <row r="23" spans="1:21" ht="19.95" customHeight="1" x14ac:dyDescent="0.3">
      <c r="A23" s="15">
        <f t="shared" ref="A23:A28" si="11">Importe_4</f>
        <v>100</v>
      </c>
      <c r="B23" s="16" t="str">
        <f>"Solo "&amp;Valor_1&amp;" € ("&amp;Bebida_1&amp;")"</f>
        <v>Solo 3 € (Cerveza)</v>
      </c>
      <c r="C23" s="17">
        <v>33</v>
      </c>
      <c r="D23" s="18">
        <f>IF($S23&gt;$A23,"—",C23*Valor_1)</f>
        <v>99</v>
      </c>
      <c r="E23" s="19" t="s">
        <v>16</v>
      </c>
      <c r="F23" s="19" t="s">
        <v>16</v>
      </c>
      <c r="G23" s="19" t="s">
        <v>16</v>
      </c>
      <c r="H23" s="19" t="s">
        <v>16</v>
      </c>
      <c r="I23" s="20">
        <f t="shared" si="1"/>
        <v>33</v>
      </c>
      <c r="J23" s="15">
        <f t="shared" si="2"/>
        <v>99</v>
      </c>
      <c r="K23" s="21">
        <f t="shared" si="3"/>
        <v>1</v>
      </c>
      <c r="L23" s="22" t="str">
        <f t="shared" si="4"/>
        <v>OK</v>
      </c>
      <c r="M23" s="16" t="str">
        <f t="shared" si="5"/>
        <v/>
      </c>
      <c r="N23" s="23" t="str">
        <f>IF($S23&gt;$A23,"NO ES POSIBLE",IF(CALC_SUGERENCIA!$D23=1,CALC_SUGERENCIA!$F23&amp;" × "&amp;CALC_SUGERENCIA!$B23&amp;" €",CALC_SUGERENCIA!$F23&amp;" × "&amp;CALC_SUGERENCIA!$B23&amp;" € + "&amp;CALC_SUGERENCIA!$G23&amp;" × "&amp;CALC_SUGERENCIA!$C23&amp;" €")&amp;"  → devuelve "&amp;CALC_SUGERENCIA!$H23&amp;" €")</f>
        <v>33 × 3 €  → devuelve 1 €</v>
      </c>
      <c r="P23" s="24">
        <v>1</v>
      </c>
      <c r="Q23" s="24">
        <v>0</v>
      </c>
      <c r="R23" s="24">
        <v>0</v>
      </c>
      <c r="S23" s="25">
        <f t="shared" si="6"/>
        <v>3</v>
      </c>
      <c r="T23" s="25">
        <f t="shared" si="7"/>
        <v>3</v>
      </c>
      <c r="U23" s="25">
        <f t="shared" si="8"/>
        <v>3</v>
      </c>
    </row>
    <row r="24" spans="1:21" ht="19.95" customHeight="1" x14ac:dyDescent="0.3">
      <c r="A24" s="26">
        <f t="shared" si="11"/>
        <v>100</v>
      </c>
      <c r="B24" s="27" t="str">
        <f>"Solo "&amp;Valor_2&amp;" € ("&amp;Bebida_2&amp;")"</f>
        <v>Solo 5 € (Calimocho)</v>
      </c>
      <c r="C24" s="28" t="s">
        <v>16</v>
      </c>
      <c r="D24" s="28" t="s">
        <v>16</v>
      </c>
      <c r="E24" s="29">
        <v>20</v>
      </c>
      <c r="F24" s="30">
        <f>IF($S24&gt;$A24,"—",E24*Valor_2)</f>
        <v>100</v>
      </c>
      <c r="G24" s="28" t="s">
        <v>16</v>
      </c>
      <c r="H24" s="28" t="s">
        <v>16</v>
      </c>
      <c r="I24" s="31">
        <f t="shared" si="1"/>
        <v>20</v>
      </c>
      <c r="J24" s="26">
        <f t="shared" si="2"/>
        <v>100</v>
      </c>
      <c r="K24" s="32">
        <f t="shared" si="3"/>
        <v>0</v>
      </c>
      <c r="L24" s="33" t="str">
        <f t="shared" si="4"/>
        <v>OK</v>
      </c>
      <c r="M24" s="27" t="str">
        <f t="shared" si="5"/>
        <v/>
      </c>
      <c r="N24" s="34" t="str">
        <f>IF($S24&gt;$A24,"NO ES POSIBLE",IF(CALC_SUGERENCIA!$D24=1,CALC_SUGERENCIA!$F24&amp;" × "&amp;CALC_SUGERENCIA!$B24&amp;" €",CALC_SUGERENCIA!$F24&amp;" × "&amp;CALC_SUGERENCIA!$B24&amp;" € + "&amp;CALC_SUGERENCIA!$G24&amp;" × "&amp;CALC_SUGERENCIA!$C24&amp;" €")&amp;"  → devuelve "&amp;CALC_SUGERENCIA!$H24&amp;" €")</f>
        <v>20 × 5 €  → devuelve 0 €</v>
      </c>
      <c r="P24" s="35">
        <v>0</v>
      </c>
      <c r="Q24" s="35">
        <v>1</v>
      </c>
      <c r="R24" s="35">
        <v>0</v>
      </c>
      <c r="S24" s="36">
        <f t="shared" si="6"/>
        <v>5</v>
      </c>
      <c r="T24" s="36">
        <f t="shared" si="7"/>
        <v>5</v>
      </c>
      <c r="U24" s="36">
        <f t="shared" si="8"/>
        <v>5</v>
      </c>
    </row>
    <row r="25" spans="1:21" ht="19.95" customHeight="1" x14ac:dyDescent="0.3">
      <c r="A25" s="26">
        <f t="shared" si="11"/>
        <v>100</v>
      </c>
      <c r="B25" s="27" t="str">
        <f>"Solo "&amp;Valor_3&amp;" € ("&amp;Bebida_3&amp;")"</f>
        <v>Solo 7 € (Cubata)</v>
      </c>
      <c r="C25" s="28" t="s">
        <v>16</v>
      </c>
      <c r="D25" s="28" t="s">
        <v>16</v>
      </c>
      <c r="E25" s="28" t="s">
        <v>16</v>
      </c>
      <c r="F25" s="28" t="s">
        <v>16</v>
      </c>
      <c r="G25" s="29">
        <v>14</v>
      </c>
      <c r="H25" s="30">
        <f>IF($S25&gt;$A25,"—",G25*Valor_3)</f>
        <v>98</v>
      </c>
      <c r="I25" s="31">
        <f t="shared" si="1"/>
        <v>14</v>
      </c>
      <c r="J25" s="26">
        <f t="shared" si="2"/>
        <v>98</v>
      </c>
      <c r="K25" s="32">
        <f t="shared" si="3"/>
        <v>2</v>
      </c>
      <c r="L25" s="33" t="str">
        <f t="shared" si="4"/>
        <v>OK</v>
      </c>
      <c r="M25" s="27" t="str">
        <f t="shared" si="5"/>
        <v/>
      </c>
      <c r="N25" s="34" t="str">
        <f>IF($S25&gt;$A25,"NO ES POSIBLE",IF(CALC_SUGERENCIA!$D25=1,CALC_SUGERENCIA!$F25&amp;" × "&amp;CALC_SUGERENCIA!$B25&amp;" €",CALC_SUGERENCIA!$F25&amp;" × "&amp;CALC_SUGERENCIA!$B25&amp;" € + "&amp;CALC_SUGERENCIA!$G25&amp;" × "&amp;CALC_SUGERENCIA!$C25&amp;" €")&amp;"  → devuelve "&amp;CALC_SUGERENCIA!$H25&amp;" €")</f>
        <v>14 × 7 €  → devuelve 2 €</v>
      </c>
      <c r="P25" s="35">
        <v>0</v>
      </c>
      <c r="Q25" s="35">
        <v>0</v>
      </c>
      <c r="R25" s="35">
        <v>1</v>
      </c>
      <c r="S25" s="36">
        <f t="shared" si="6"/>
        <v>7</v>
      </c>
      <c r="T25" s="36">
        <f t="shared" si="7"/>
        <v>7</v>
      </c>
      <c r="U25" s="36">
        <f t="shared" si="8"/>
        <v>7</v>
      </c>
    </row>
    <row r="26" spans="1:21" ht="19.95" customHeight="1" x14ac:dyDescent="0.3">
      <c r="A26" s="26">
        <f t="shared" si="11"/>
        <v>100</v>
      </c>
      <c r="B26" s="27" t="str">
        <f>Valor_1&amp;" € + "&amp;Valor_2&amp;" € ("&amp;Bebida_1&amp;" + "&amp;Bebida_2&amp;")"</f>
        <v>3 € + 5 € (Cerveza + Calimocho)</v>
      </c>
      <c r="C26" s="29">
        <v>8</v>
      </c>
      <c r="D26" s="30">
        <f>IF($S26&gt;$A26,"—",C26*Valor_1)</f>
        <v>24</v>
      </c>
      <c r="E26" s="29">
        <v>15</v>
      </c>
      <c r="F26" s="30">
        <f>IF($S26&gt;$A26,"—",E26*Valor_2)</f>
        <v>75</v>
      </c>
      <c r="G26" s="28" t="s">
        <v>16</v>
      </c>
      <c r="H26" s="28" t="s">
        <v>16</v>
      </c>
      <c r="I26" s="31">
        <f t="shared" si="1"/>
        <v>23</v>
      </c>
      <c r="J26" s="26">
        <f t="shared" si="2"/>
        <v>99</v>
      </c>
      <c r="K26" s="32">
        <f t="shared" si="3"/>
        <v>1</v>
      </c>
      <c r="L26" s="33" t="str">
        <f t="shared" si="4"/>
        <v>OK</v>
      </c>
      <c r="M26" s="27" t="str">
        <f t="shared" si="5"/>
        <v/>
      </c>
      <c r="N26" s="34" t="str">
        <f>IF($S26&gt;$A26,"NO ES POSIBLE",IF(CALC_SUGERENCIA!$D26=1,CALC_SUGERENCIA!$F26&amp;" × "&amp;CALC_SUGERENCIA!$B26&amp;" €",CALC_SUGERENCIA!$F26&amp;" × "&amp;CALC_SUGERENCIA!$B26&amp;" € + "&amp;CALC_SUGERENCIA!$G26&amp;" × "&amp;CALC_SUGERENCIA!$C26&amp;" €")&amp;"  → devuelve "&amp;CALC_SUGERENCIA!$H26&amp;" €")</f>
        <v>30 × 3 € + 2 × 5 €  → devuelve 0 €</v>
      </c>
      <c r="P26" s="35">
        <v>1</v>
      </c>
      <c r="Q26" s="35">
        <v>1</v>
      </c>
      <c r="R26" s="35">
        <v>0</v>
      </c>
      <c r="S26" s="36">
        <f t="shared" si="6"/>
        <v>8</v>
      </c>
      <c r="T26" s="36">
        <f t="shared" si="7"/>
        <v>5</v>
      </c>
      <c r="U26" s="36">
        <f t="shared" si="8"/>
        <v>3</v>
      </c>
    </row>
    <row r="27" spans="1:21" ht="19.95" customHeight="1" x14ac:dyDescent="0.3">
      <c r="A27" s="26">
        <f t="shared" si="11"/>
        <v>100</v>
      </c>
      <c r="B27" s="27" t="str">
        <f>Valor_1&amp;" € + "&amp;Valor_3&amp;" € ("&amp;Bebida_1&amp;" + "&amp;Bebida_3&amp;")"</f>
        <v>3 € + 7 € (Cerveza + Cubata)</v>
      </c>
      <c r="C27" s="29">
        <v>10</v>
      </c>
      <c r="D27" s="30">
        <f>IF($S27&gt;$A27,"—",C27*Valor_1)</f>
        <v>30</v>
      </c>
      <c r="E27" s="28" t="s">
        <v>16</v>
      </c>
      <c r="F27" s="28" t="s">
        <v>16</v>
      </c>
      <c r="G27" s="29">
        <v>10</v>
      </c>
      <c r="H27" s="30">
        <f>IF($S27&gt;$A27,"—",G27*Valor_3)</f>
        <v>70</v>
      </c>
      <c r="I27" s="31">
        <f t="shared" si="1"/>
        <v>20</v>
      </c>
      <c r="J27" s="26">
        <f t="shared" si="2"/>
        <v>100</v>
      </c>
      <c r="K27" s="32">
        <f t="shared" si="3"/>
        <v>0</v>
      </c>
      <c r="L27" s="33" t="str">
        <f t="shared" si="4"/>
        <v>OK</v>
      </c>
      <c r="M27" s="27" t="str">
        <f t="shared" si="5"/>
        <v/>
      </c>
      <c r="N27" s="34" t="str">
        <f>IF($S27&gt;$A27,"NO ES POSIBLE",IF(CALC_SUGERENCIA!$D27=1,CALC_SUGERENCIA!$F27&amp;" × "&amp;CALC_SUGERENCIA!$B27&amp;" €",CALC_SUGERENCIA!$F27&amp;" × "&amp;CALC_SUGERENCIA!$B27&amp;" € + "&amp;CALC_SUGERENCIA!$G27&amp;" × "&amp;CALC_SUGERENCIA!$C27&amp;" €")&amp;"  → devuelve "&amp;CALC_SUGERENCIA!$H27&amp;" €")</f>
        <v>31 × 3 € + 1 × 7 €  → devuelve 0 €</v>
      </c>
      <c r="P27" s="35">
        <v>1</v>
      </c>
      <c r="Q27" s="35">
        <v>0</v>
      </c>
      <c r="R27" s="35">
        <v>1</v>
      </c>
      <c r="S27" s="36">
        <f t="shared" si="6"/>
        <v>10</v>
      </c>
      <c r="T27" s="36">
        <f t="shared" si="7"/>
        <v>7</v>
      </c>
      <c r="U27" s="36">
        <f t="shared" si="8"/>
        <v>3</v>
      </c>
    </row>
    <row r="28" spans="1:21" ht="19.95" customHeight="1" x14ac:dyDescent="0.3">
      <c r="A28" s="26">
        <f t="shared" si="11"/>
        <v>100</v>
      </c>
      <c r="B28" s="27" t="str">
        <f>Valor_2&amp;" € + "&amp;Valor_3&amp;" € ("&amp;Bebida_2&amp;" + "&amp;Bebida_3&amp;")"</f>
        <v>5 € + 7 € (Calimocho + Cubata)</v>
      </c>
      <c r="C28" s="28" t="s">
        <v>16</v>
      </c>
      <c r="D28" s="28" t="s">
        <v>16</v>
      </c>
      <c r="E28" s="29">
        <v>13</v>
      </c>
      <c r="F28" s="30">
        <f>IF($S28&gt;$A28,"—",E28*Valor_2)</f>
        <v>65</v>
      </c>
      <c r="G28" s="29">
        <v>5</v>
      </c>
      <c r="H28" s="30">
        <f>IF($S28&gt;$A28,"—",G28*Valor_3)</f>
        <v>35</v>
      </c>
      <c r="I28" s="31">
        <f t="shared" si="1"/>
        <v>18</v>
      </c>
      <c r="J28" s="26">
        <f t="shared" si="2"/>
        <v>100</v>
      </c>
      <c r="K28" s="32">
        <f t="shared" si="3"/>
        <v>0</v>
      </c>
      <c r="L28" s="33" t="str">
        <f t="shared" si="4"/>
        <v>OK</v>
      </c>
      <c r="M28" s="27" t="str">
        <f t="shared" si="5"/>
        <v/>
      </c>
      <c r="N28" s="34" t="str">
        <f>IF($S28&gt;$A28,"NO ES POSIBLE",IF(CALC_SUGERENCIA!$D28=1,CALC_SUGERENCIA!$F28&amp;" × "&amp;CALC_SUGERENCIA!$B28&amp;" €",CALC_SUGERENCIA!$F28&amp;" × "&amp;CALC_SUGERENCIA!$B28&amp;" € + "&amp;CALC_SUGERENCIA!$G28&amp;" × "&amp;CALC_SUGERENCIA!$C28&amp;" €")&amp;"  → devuelve "&amp;CALC_SUGERENCIA!$H28&amp;" €")</f>
        <v>13 × 5 € + 5 × 7 €  → devuelve 0 €</v>
      </c>
      <c r="P28" s="35">
        <v>0</v>
      </c>
      <c r="Q28" s="35">
        <v>1</v>
      </c>
      <c r="R28" s="35">
        <v>1</v>
      </c>
      <c r="S28" s="36">
        <f t="shared" si="6"/>
        <v>12</v>
      </c>
      <c r="T28" s="36">
        <f t="shared" si="7"/>
        <v>7</v>
      </c>
      <c r="U28" s="36">
        <f t="shared" si="8"/>
        <v>5</v>
      </c>
    </row>
    <row r="29" spans="1:21" ht="19.95" customHeight="1" x14ac:dyDescent="0.3">
      <c r="A29" s="15">
        <f t="shared" ref="A29:A34" si="12">Importe_5</f>
        <v>200</v>
      </c>
      <c r="B29" s="16" t="str">
        <f>"Solo "&amp;Valor_1&amp;" € ("&amp;Bebida_1&amp;")"</f>
        <v>Solo 3 € (Cerveza)</v>
      </c>
      <c r="C29" s="17">
        <v>66</v>
      </c>
      <c r="D29" s="18">
        <f>IF($S29&gt;$A29,"—",C29*Valor_1)</f>
        <v>198</v>
      </c>
      <c r="E29" s="19" t="s">
        <v>16</v>
      </c>
      <c r="F29" s="19" t="s">
        <v>16</v>
      </c>
      <c r="G29" s="19" t="s">
        <v>16</v>
      </c>
      <c r="H29" s="19" t="s">
        <v>16</v>
      </c>
      <c r="I29" s="20">
        <f t="shared" si="1"/>
        <v>66</v>
      </c>
      <c r="J29" s="15">
        <f t="shared" si="2"/>
        <v>198</v>
      </c>
      <c r="K29" s="21">
        <f t="shared" si="3"/>
        <v>2</v>
      </c>
      <c r="L29" s="22" t="str">
        <f t="shared" si="4"/>
        <v>OK</v>
      </c>
      <c r="M29" s="16" t="str">
        <f t="shared" si="5"/>
        <v/>
      </c>
      <c r="N29" s="23" t="str">
        <f>IF($S29&gt;$A29,"NO ES POSIBLE",IF(CALC_SUGERENCIA!$D29=1,CALC_SUGERENCIA!$F29&amp;" × "&amp;CALC_SUGERENCIA!$B29&amp;" €",CALC_SUGERENCIA!$F29&amp;" × "&amp;CALC_SUGERENCIA!$B29&amp;" € + "&amp;CALC_SUGERENCIA!$G29&amp;" × "&amp;CALC_SUGERENCIA!$C29&amp;" €")&amp;"  → devuelve "&amp;CALC_SUGERENCIA!$H29&amp;" €")</f>
        <v>66 × 3 €  → devuelve 2 €</v>
      </c>
      <c r="P29" s="24">
        <v>1</v>
      </c>
      <c r="Q29" s="24">
        <v>0</v>
      </c>
      <c r="R29" s="24">
        <v>0</v>
      </c>
      <c r="S29" s="25">
        <f t="shared" si="6"/>
        <v>3</v>
      </c>
      <c r="T29" s="25">
        <f t="shared" si="7"/>
        <v>3</v>
      </c>
      <c r="U29" s="25">
        <f t="shared" si="8"/>
        <v>3</v>
      </c>
    </row>
    <row r="30" spans="1:21" ht="19.95" customHeight="1" x14ac:dyDescent="0.3">
      <c r="A30" s="26">
        <f t="shared" si="12"/>
        <v>200</v>
      </c>
      <c r="B30" s="27" t="str">
        <f>"Solo "&amp;Valor_2&amp;" € ("&amp;Bebida_2&amp;")"</f>
        <v>Solo 5 € (Calimocho)</v>
      </c>
      <c r="C30" s="28" t="s">
        <v>16</v>
      </c>
      <c r="D30" s="28" t="s">
        <v>16</v>
      </c>
      <c r="E30" s="29">
        <v>40</v>
      </c>
      <c r="F30" s="30">
        <f>IF($S30&gt;$A30,"—",E30*Valor_2)</f>
        <v>200</v>
      </c>
      <c r="G30" s="28" t="s">
        <v>16</v>
      </c>
      <c r="H30" s="28" t="s">
        <v>16</v>
      </c>
      <c r="I30" s="31">
        <f t="shared" si="1"/>
        <v>40</v>
      </c>
      <c r="J30" s="26">
        <f t="shared" si="2"/>
        <v>200</v>
      </c>
      <c r="K30" s="32">
        <f t="shared" si="3"/>
        <v>0</v>
      </c>
      <c r="L30" s="33" t="str">
        <f t="shared" si="4"/>
        <v>OK</v>
      </c>
      <c r="M30" s="27" t="str">
        <f t="shared" si="5"/>
        <v/>
      </c>
      <c r="N30" s="34" t="str">
        <f>IF($S30&gt;$A30,"NO ES POSIBLE",IF(CALC_SUGERENCIA!$D30=1,CALC_SUGERENCIA!$F30&amp;" × "&amp;CALC_SUGERENCIA!$B30&amp;" €",CALC_SUGERENCIA!$F30&amp;" × "&amp;CALC_SUGERENCIA!$B30&amp;" € + "&amp;CALC_SUGERENCIA!$G30&amp;" × "&amp;CALC_SUGERENCIA!$C30&amp;" €")&amp;"  → devuelve "&amp;CALC_SUGERENCIA!$H30&amp;" €")</f>
        <v>40 × 5 €  → devuelve 0 €</v>
      </c>
      <c r="P30" s="35">
        <v>0</v>
      </c>
      <c r="Q30" s="35">
        <v>1</v>
      </c>
      <c r="R30" s="35">
        <v>0</v>
      </c>
      <c r="S30" s="36">
        <f t="shared" si="6"/>
        <v>5</v>
      </c>
      <c r="T30" s="36">
        <f t="shared" si="7"/>
        <v>5</v>
      </c>
      <c r="U30" s="36">
        <f t="shared" si="8"/>
        <v>5</v>
      </c>
    </row>
    <row r="31" spans="1:21" ht="19.95" customHeight="1" x14ac:dyDescent="0.3">
      <c r="A31" s="26">
        <f t="shared" si="12"/>
        <v>200</v>
      </c>
      <c r="B31" s="27" t="str">
        <f>"Solo "&amp;Valor_3&amp;" € ("&amp;Bebida_3&amp;")"</f>
        <v>Solo 7 € (Cubata)</v>
      </c>
      <c r="C31" s="28" t="s">
        <v>16</v>
      </c>
      <c r="D31" s="28" t="s">
        <v>16</v>
      </c>
      <c r="E31" s="28" t="s">
        <v>16</v>
      </c>
      <c r="F31" s="28" t="s">
        <v>16</v>
      </c>
      <c r="G31" s="29">
        <v>28</v>
      </c>
      <c r="H31" s="30">
        <f>IF($S31&gt;$A31,"—",G31*Valor_3)</f>
        <v>196</v>
      </c>
      <c r="I31" s="31">
        <f t="shared" si="1"/>
        <v>28</v>
      </c>
      <c r="J31" s="26">
        <f t="shared" si="2"/>
        <v>196</v>
      </c>
      <c r="K31" s="32">
        <f t="shared" si="3"/>
        <v>4</v>
      </c>
      <c r="L31" s="33" t="str">
        <f t="shared" si="4"/>
        <v>OK</v>
      </c>
      <c r="M31" s="27" t="str">
        <f t="shared" si="5"/>
        <v/>
      </c>
      <c r="N31" s="34" t="str">
        <f>IF($S31&gt;$A31,"NO ES POSIBLE",IF(CALC_SUGERENCIA!$D31=1,CALC_SUGERENCIA!$F31&amp;" × "&amp;CALC_SUGERENCIA!$B31&amp;" €",CALC_SUGERENCIA!$F31&amp;" × "&amp;CALC_SUGERENCIA!$B31&amp;" € + "&amp;CALC_SUGERENCIA!$G31&amp;" × "&amp;CALC_SUGERENCIA!$C31&amp;" €")&amp;"  → devuelve "&amp;CALC_SUGERENCIA!$H31&amp;" €")</f>
        <v>28 × 7 €  → devuelve 4 €</v>
      </c>
      <c r="P31" s="35">
        <v>0</v>
      </c>
      <c r="Q31" s="35">
        <v>0</v>
      </c>
      <c r="R31" s="35">
        <v>1</v>
      </c>
      <c r="S31" s="36">
        <f t="shared" si="6"/>
        <v>7</v>
      </c>
      <c r="T31" s="36">
        <f t="shared" si="7"/>
        <v>7</v>
      </c>
      <c r="U31" s="36">
        <f t="shared" si="8"/>
        <v>7</v>
      </c>
    </row>
    <row r="32" spans="1:21" ht="19.95" customHeight="1" x14ac:dyDescent="0.3">
      <c r="A32" s="26">
        <f t="shared" si="12"/>
        <v>200</v>
      </c>
      <c r="B32" s="27" t="str">
        <f>Valor_1&amp;" € + "&amp;Valor_2&amp;" € ("&amp;Bebida_1&amp;" + "&amp;Bebida_2&amp;")"</f>
        <v>3 € + 5 € (Cerveza + Calimocho)</v>
      </c>
      <c r="C32" s="29">
        <v>16</v>
      </c>
      <c r="D32" s="30">
        <f>IF($S32&gt;$A32,"—",C32*Valor_1)</f>
        <v>48</v>
      </c>
      <c r="E32" s="29">
        <v>30</v>
      </c>
      <c r="F32" s="30">
        <f>IF($S32&gt;$A32,"—",E32*Valor_2)</f>
        <v>150</v>
      </c>
      <c r="G32" s="28" t="s">
        <v>16</v>
      </c>
      <c r="H32" s="28" t="s">
        <v>16</v>
      </c>
      <c r="I32" s="31">
        <f t="shared" si="1"/>
        <v>46</v>
      </c>
      <c r="J32" s="26">
        <f t="shared" si="2"/>
        <v>198</v>
      </c>
      <c r="K32" s="32">
        <f t="shared" si="3"/>
        <v>2</v>
      </c>
      <c r="L32" s="33" t="str">
        <f t="shared" si="4"/>
        <v>OK</v>
      </c>
      <c r="M32" s="27" t="str">
        <f t="shared" si="5"/>
        <v/>
      </c>
      <c r="N32" s="34" t="str">
        <f>IF($S32&gt;$A32,"NO ES POSIBLE",IF(CALC_SUGERENCIA!$D32=1,CALC_SUGERENCIA!$F32&amp;" × "&amp;CALC_SUGERENCIA!$B32&amp;" €",CALC_SUGERENCIA!$F32&amp;" × "&amp;CALC_SUGERENCIA!$B32&amp;" € + "&amp;CALC_SUGERENCIA!$G32&amp;" × "&amp;CALC_SUGERENCIA!$C32&amp;" €")&amp;"  → devuelve "&amp;CALC_SUGERENCIA!$H32&amp;" €")</f>
        <v>65 × 3 € + 1 × 5 €  → devuelve 0 €</v>
      </c>
      <c r="P32" s="35">
        <v>1</v>
      </c>
      <c r="Q32" s="35">
        <v>1</v>
      </c>
      <c r="R32" s="35">
        <v>0</v>
      </c>
      <c r="S32" s="36">
        <f t="shared" si="6"/>
        <v>8</v>
      </c>
      <c r="T32" s="36">
        <f t="shared" si="7"/>
        <v>5</v>
      </c>
      <c r="U32" s="36">
        <f t="shared" si="8"/>
        <v>3</v>
      </c>
    </row>
    <row r="33" spans="1:21" ht="19.95" customHeight="1" x14ac:dyDescent="0.3">
      <c r="A33" s="26">
        <f t="shared" si="12"/>
        <v>200</v>
      </c>
      <c r="B33" s="27" t="str">
        <f>Valor_1&amp;" € + "&amp;Valor_3&amp;" € ("&amp;Bebida_1&amp;" + "&amp;Bebida_3&amp;")"</f>
        <v>3 € + 7 € (Cerveza + Cubata)</v>
      </c>
      <c r="C33" s="29">
        <v>15</v>
      </c>
      <c r="D33" s="30">
        <f>IF($S33&gt;$A33,"—",C33*Valor_1)</f>
        <v>45</v>
      </c>
      <c r="E33" s="28" t="s">
        <v>16</v>
      </c>
      <c r="F33" s="28" t="s">
        <v>16</v>
      </c>
      <c r="G33" s="29">
        <v>22</v>
      </c>
      <c r="H33" s="30">
        <f>IF($S33&gt;$A33,"—",G33*Valor_3)</f>
        <v>154</v>
      </c>
      <c r="I33" s="31">
        <f t="shared" si="1"/>
        <v>37</v>
      </c>
      <c r="J33" s="26">
        <f t="shared" si="2"/>
        <v>199</v>
      </c>
      <c r="K33" s="32">
        <f t="shared" si="3"/>
        <v>1</v>
      </c>
      <c r="L33" s="33" t="str">
        <f t="shared" si="4"/>
        <v>OK</v>
      </c>
      <c r="M33" s="27" t="str">
        <f t="shared" si="5"/>
        <v/>
      </c>
      <c r="N33" s="34" t="str">
        <f>IF($S33&gt;$A33,"NO ES POSIBLE",IF(CALC_SUGERENCIA!$D33=1,CALC_SUGERENCIA!$F33&amp;" × "&amp;CALC_SUGERENCIA!$B33&amp;" €",CALC_SUGERENCIA!$F33&amp;" × "&amp;CALC_SUGERENCIA!$B33&amp;" € + "&amp;CALC_SUGERENCIA!$G33&amp;" × "&amp;CALC_SUGERENCIA!$C33&amp;" €")&amp;"  → devuelve "&amp;CALC_SUGERENCIA!$H33&amp;" €")</f>
        <v>62 × 3 € + 2 × 7 €  → devuelve 0 €</v>
      </c>
      <c r="P33" s="35">
        <v>1</v>
      </c>
      <c r="Q33" s="35">
        <v>0</v>
      </c>
      <c r="R33" s="35">
        <v>1</v>
      </c>
      <c r="S33" s="36">
        <f t="shared" si="6"/>
        <v>10</v>
      </c>
      <c r="T33" s="36">
        <f t="shared" si="7"/>
        <v>7</v>
      </c>
      <c r="U33" s="36">
        <f t="shared" si="8"/>
        <v>3</v>
      </c>
    </row>
    <row r="34" spans="1:21" ht="19.95" customHeight="1" x14ac:dyDescent="0.3">
      <c r="A34" s="26">
        <f t="shared" si="12"/>
        <v>200</v>
      </c>
      <c r="B34" s="27" t="str">
        <f>Valor_2&amp;" € + "&amp;Valor_3&amp;" € ("&amp;Bebida_2&amp;" + "&amp;Bebida_3&amp;")"</f>
        <v>5 € + 7 € (Calimocho + Cubata)</v>
      </c>
      <c r="C34" s="28" t="s">
        <v>16</v>
      </c>
      <c r="D34" s="28" t="s">
        <v>16</v>
      </c>
      <c r="E34" s="29">
        <v>19</v>
      </c>
      <c r="F34" s="30">
        <f>IF($S34&gt;$A34,"—",E34*Valor_2)</f>
        <v>95</v>
      </c>
      <c r="G34" s="29">
        <v>15</v>
      </c>
      <c r="H34" s="30">
        <f>IF($S34&gt;$A34,"—",G34*Valor_3)</f>
        <v>105</v>
      </c>
      <c r="I34" s="31">
        <f t="shared" si="1"/>
        <v>34</v>
      </c>
      <c r="J34" s="26">
        <f t="shared" si="2"/>
        <v>200</v>
      </c>
      <c r="K34" s="32">
        <f t="shared" si="3"/>
        <v>0</v>
      </c>
      <c r="L34" s="33" t="str">
        <f t="shared" si="4"/>
        <v>OK</v>
      </c>
      <c r="M34" s="27" t="str">
        <f t="shared" si="5"/>
        <v/>
      </c>
      <c r="N34" s="34" t="str">
        <f>IF($S34&gt;$A34,"NO ES POSIBLE",IF(CALC_SUGERENCIA!$D34=1,CALC_SUGERENCIA!$F34&amp;" × "&amp;CALC_SUGERENCIA!$B34&amp;" €",CALC_SUGERENCIA!$F34&amp;" × "&amp;CALC_SUGERENCIA!$B34&amp;" € + "&amp;CALC_SUGERENCIA!$G34&amp;" × "&amp;CALC_SUGERENCIA!$C34&amp;" €")&amp;"  → devuelve "&amp;CALC_SUGERENCIA!$H34&amp;" €")</f>
        <v>33 × 5 € + 5 × 7 €  → devuelve 0 €</v>
      </c>
      <c r="P34" s="35">
        <v>0</v>
      </c>
      <c r="Q34" s="35">
        <v>1</v>
      </c>
      <c r="R34" s="35">
        <v>1</v>
      </c>
      <c r="S34" s="36">
        <f t="shared" si="6"/>
        <v>12</v>
      </c>
      <c r="T34" s="36">
        <f t="shared" si="7"/>
        <v>7</v>
      </c>
      <c r="U34" s="36">
        <f t="shared" si="8"/>
        <v>5</v>
      </c>
    </row>
  </sheetData>
  <sheetProtection sheet="1"/>
  <conditionalFormatting sqref="K5:K34">
    <cfRule type="expression" dxfId="3" priority="4">
      <formula>$L5="REVISAR"</formula>
    </cfRule>
  </conditionalFormatting>
  <conditionalFormatting sqref="L5:L34">
    <cfRule type="cellIs" dxfId="2" priority="1" operator="equal">
      <formula>"OK"</formula>
    </cfRule>
    <cfRule type="cellIs" dxfId="1" priority="2" operator="equal">
      <formula>"REVISAR"</formula>
    </cfRule>
    <cfRule type="cellIs" dxfId="0" priority="3" operator="equal">
      <formula>"NO ES POSIBLE"</formula>
    </cfRule>
  </conditionalFormatting>
  <dataValidations count="1">
    <dataValidation type="whole" allowBlank="1" showInputMessage="1" showErrorMessage="1" errorTitle="Nº de fichas no válido" error="Escribe un número entero de fichas (0 a 9999)." promptTitle="Nº de fichas" prompt="Escribe cuántas fichas de este tipo se entregan." sqref="C5 C8 C9 C11 C14 C15 C17 C20 C21 C23 C26 C27 C29 C32 C33 E6 E8 E10 E12 E14 E16 E18 E20 E22 E24 E26 E28 E30 E32 E34 G7 G9 G10 G13 G15 G16 G19 G21 G22 G25 G27 G28 G31 G33 G34" xr:uid="{00000000-0002-0000-0200-000000000000}">
      <formula1>0</formula1>
      <formula2>9999</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Y34"/>
  <sheetViews>
    <sheetView workbookViewId="0"/>
  </sheetViews>
  <sheetFormatPr baseColWidth="10" defaultColWidth="8.88671875" defaultRowHeight="14.4" x14ac:dyDescent="0.3"/>
  <sheetData>
    <row r="1" spans="1:259" x14ac:dyDescent="0.3">
      <c r="A1" t="s">
        <v>78</v>
      </c>
    </row>
    <row r="2" spans="1:259" x14ac:dyDescent="0.3">
      <c r="A2" t="s">
        <v>79</v>
      </c>
    </row>
    <row r="4" spans="1:259" x14ac:dyDescent="0.3">
      <c r="A4" s="37" t="s">
        <v>57</v>
      </c>
      <c r="B4" s="37" t="s">
        <v>80</v>
      </c>
      <c r="C4" s="37" t="s">
        <v>81</v>
      </c>
      <c r="D4" s="37" t="s">
        <v>82</v>
      </c>
      <c r="E4" s="37" t="s">
        <v>83</v>
      </c>
      <c r="F4" s="37" t="s">
        <v>84</v>
      </c>
      <c r="G4" s="37" t="s">
        <v>85</v>
      </c>
      <c r="H4" s="37" t="s">
        <v>86</v>
      </c>
      <c r="J4">
        <v>1</v>
      </c>
      <c r="K4">
        <v>2</v>
      </c>
      <c r="L4">
        <v>3</v>
      </c>
      <c r="M4">
        <v>4</v>
      </c>
      <c r="N4">
        <v>5</v>
      </c>
      <c r="O4">
        <v>6</v>
      </c>
      <c r="P4">
        <v>7</v>
      </c>
      <c r="Q4">
        <v>8</v>
      </c>
      <c r="R4">
        <v>9</v>
      </c>
      <c r="S4">
        <v>10</v>
      </c>
      <c r="T4">
        <v>11</v>
      </c>
      <c r="U4">
        <v>12</v>
      </c>
      <c r="V4">
        <v>13</v>
      </c>
      <c r="W4">
        <v>14</v>
      </c>
      <c r="X4">
        <v>15</v>
      </c>
      <c r="Y4">
        <v>16</v>
      </c>
      <c r="Z4">
        <v>17</v>
      </c>
      <c r="AA4">
        <v>18</v>
      </c>
      <c r="AB4">
        <v>19</v>
      </c>
      <c r="AC4">
        <v>20</v>
      </c>
      <c r="AD4">
        <v>21</v>
      </c>
      <c r="AE4">
        <v>22</v>
      </c>
      <c r="AF4">
        <v>23</v>
      </c>
      <c r="AG4">
        <v>24</v>
      </c>
      <c r="AH4">
        <v>25</v>
      </c>
      <c r="AI4">
        <v>26</v>
      </c>
      <c r="AJ4">
        <v>27</v>
      </c>
      <c r="AK4">
        <v>28</v>
      </c>
      <c r="AL4">
        <v>29</v>
      </c>
      <c r="AM4">
        <v>30</v>
      </c>
      <c r="AN4">
        <v>31</v>
      </c>
      <c r="AO4">
        <v>32</v>
      </c>
      <c r="AP4">
        <v>33</v>
      </c>
      <c r="AQ4">
        <v>34</v>
      </c>
      <c r="AR4">
        <v>35</v>
      </c>
      <c r="AS4">
        <v>36</v>
      </c>
      <c r="AT4">
        <v>37</v>
      </c>
      <c r="AU4">
        <v>38</v>
      </c>
      <c r="AV4">
        <v>39</v>
      </c>
      <c r="AW4">
        <v>40</v>
      </c>
      <c r="AX4">
        <v>41</v>
      </c>
      <c r="AY4">
        <v>42</v>
      </c>
      <c r="AZ4">
        <v>43</v>
      </c>
      <c r="BA4">
        <v>44</v>
      </c>
      <c r="BB4">
        <v>45</v>
      </c>
      <c r="BC4">
        <v>46</v>
      </c>
      <c r="BD4">
        <v>47</v>
      </c>
      <c r="BE4">
        <v>48</v>
      </c>
      <c r="BF4">
        <v>49</v>
      </c>
      <c r="BG4">
        <v>50</v>
      </c>
      <c r="BH4">
        <v>51</v>
      </c>
      <c r="BI4">
        <v>52</v>
      </c>
      <c r="BJ4">
        <v>53</v>
      </c>
      <c r="BK4">
        <v>54</v>
      </c>
      <c r="BL4">
        <v>55</v>
      </c>
      <c r="BM4">
        <v>56</v>
      </c>
      <c r="BN4">
        <v>57</v>
      </c>
      <c r="BO4">
        <v>58</v>
      </c>
      <c r="BP4">
        <v>59</v>
      </c>
      <c r="BQ4">
        <v>60</v>
      </c>
      <c r="BR4">
        <v>61</v>
      </c>
      <c r="BS4">
        <v>62</v>
      </c>
      <c r="BT4">
        <v>63</v>
      </c>
      <c r="BU4">
        <v>64</v>
      </c>
      <c r="BV4">
        <v>65</v>
      </c>
      <c r="BW4">
        <v>66</v>
      </c>
      <c r="BX4">
        <v>67</v>
      </c>
      <c r="BY4">
        <v>68</v>
      </c>
      <c r="BZ4">
        <v>69</v>
      </c>
      <c r="CA4">
        <v>70</v>
      </c>
      <c r="CB4">
        <v>71</v>
      </c>
      <c r="CC4">
        <v>72</v>
      </c>
      <c r="CD4">
        <v>73</v>
      </c>
      <c r="CE4">
        <v>74</v>
      </c>
      <c r="CF4">
        <v>75</v>
      </c>
      <c r="CG4">
        <v>76</v>
      </c>
      <c r="CH4">
        <v>77</v>
      </c>
      <c r="CI4">
        <v>78</v>
      </c>
      <c r="CJ4">
        <v>79</v>
      </c>
      <c r="CK4">
        <v>80</v>
      </c>
      <c r="CL4">
        <v>81</v>
      </c>
      <c r="CM4">
        <v>82</v>
      </c>
      <c r="CN4">
        <v>83</v>
      </c>
      <c r="CO4">
        <v>84</v>
      </c>
      <c r="CP4">
        <v>85</v>
      </c>
      <c r="CQ4">
        <v>86</v>
      </c>
      <c r="CR4">
        <v>87</v>
      </c>
      <c r="CS4">
        <v>88</v>
      </c>
      <c r="CT4">
        <v>89</v>
      </c>
      <c r="CU4">
        <v>90</v>
      </c>
      <c r="CV4">
        <v>91</v>
      </c>
      <c r="CW4">
        <v>92</v>
      </c>
      <c r="CX4">
        <v>93</v>
      </c>
      <c r="CY4">
        <v>94</v>
      </c>
      <c r="CZ4">
        <v>95</v>
      </c>
      <c r="DA4">
        <v>96</v>
      </c>
      <c r="DB4">
        <v>97</v>
      </c>
      <c r="DC4">
        <v>98</v>
      </c>
      <c r="DD4">
        <v>99</v>
      </c>
      <c r="DE4">
        <v>100</v>
      </c>
      <c r="DF4">
        <v>101</v>
      </c>
      <c r="DG4">
        <v>102</v>
      </c>
      <c r="DH4">
        <v>103</v>
      </c>
      <c r="DI4">
        <v>104</v>
      </c>
      <c r="DJ4">
        <v>105</v>
      </c>
      <c r="DK4">
        <v>106</v>
      </c>
      <c r="DL4">
        <v>107</v>
      </c>
      <c r="DM4">
        <v>108</v>
      </c>
      <c r="DN4">
        <v>109</v>
      </c>
      <c r="DO4">
        <v>110</v>
      </c>
      <c r="DP4">
        <v>111</v>
      </c>
      <c r="DQ4">
        <v>112</v>
      </c>
      <c r="DR4">
        <v>113</v>
      </c>
      <c r="DS4">
        <v>114</v>
      </c>
      <c r="DT4">
        <v>115</v>
      </c>
      <c r="DU4">
        <v>116</v>
      </c>
      <c r="DV4">
        <v>117</v>
      </c>
      <c r="DW4">
        <v>118</v>
      </c>
      <c r="DX4">
        <v>119</v>
      </c>
      <c r="DY4">
        <v>120</v>
      </c>
      <c r="DZ4">
        <v>121</v>
      </c>
      <c r="EA4">
        <v>122</v>
      </c>
      <c r="EB4">
        <v>123</v>
      </c>
      <c r="EC4">
        <v>124</v>
      </c>
      <c r="ED4">
        <v>125</v>
      </c>
      <c r="EE4">
        <v>126</v>
      </c>
      <c r="EF4">
        <v>127</v>
      </c>
      <c r="EG4">
        <v>128</v>
      </c>
      <c r="EH4">
        <v>129</v>
      </c>
      <c r="EI4">
        <v>130</v>
      </c>
      <c r="EJ4">
        <v>131</v>
      </c>
      <c r="EK4">
        <v>132</v>
      </c>
      <c r="EL4">
        <v>133</v>
      </c>
      <c r="EM4">
        <v>134</v>
      </c>
      <c r="EN4">
        <v>135</v>
      </c>
      <c r="EO4">
        <v>136</v>
      </c>
      <c r="EP4">
        <v>137</v>
      </c>
      <c r="EQ4">
        <v>138</v>
      </c>
      <c r="ER4">
        <v>139</v>
      </c>
      <c r="ES4">
        <v>140</v>
      </c>
      <c r="ET4">
        <v>141</v>
      </c>
      <c r="EU4">
        <v>142</v>
      </c>
      <c r="EV4">
        <v>143</v>
      </c>
      <c r="EW4">
        <v>144</v>
      </c>
      <c r="EX4">
        <v>145</v>
      </c>
      <c r="EY4">
        <v>146</v>
      </c>
      <c r="EZ4">
        <v>147</v>
      </c>
      <c r="FA4">
        <v>148</v>
      </c>
      <c r="FB4">
        <v>149</v>
      </c>
      <c r="FC4">
        <v>150</v>
      </c>
      <c r="FD4">
        <v>151</v>
      </c>
      <c r="FE4">
        <v>152</v>
      </c>
      <c r="FF4">
        <v>153</v>
      </c>
      <c r="FG4">
        <v>154</v>
      </c>
      <c r="FH4">
        <v>155</v>
      </c>
      <c r="FI4">
        <v>156</v>
      </c>
      <c r="FJ4">
        <v>157</v>
      </c>
      <c r="FK4">
        <v>158</v>
      </c>
      <c r="FL4">
        <v>159</v>
      </c>
      <c r="FM4">
        <v>160</v>
      </c>
      <c r="FN4">
        <v>161</v>
      </c>
      <c r="FO4">
        <v>162</v>
      </c>
      <c r="FP4">
        <v>163</v>
      </c>
      <c r="FQ4">
        <v>164</v>
      </c>
      <c r="FR4">
        <v>165</v>
      </c>
      <c r="FS4">
        <v>166</v>
      </c>
      <c r="FT4">
        <v>167</v>
      </c>
      <c r="FU4">
        <v>168</v>
      </c>
      <c r="FV4">
        <v>169</v>
      </c>
      <c r="FW4">
        <v>170</v>
      </c>
      <c r="FX4">
        <v>171</v>
      </c>
      <c r="FY4">
        <v>172</v>
      </c>
      <c r="FZ4">
        <v>173</v>
      </c>
      <c r="GA4">
        <v>174</v>
      </c>
      <c r="GB4">
        <v>175</v>
      </c>
      <c r="GC4">
        <v>176</v>
      </c>
      <c r="GD4">
        <v>177</v>
      </c>
      <c r="GE4">
        <v>178</v>
      </c>
      <c r="GF4">
        <v>179</v>
      </c>
      <c r="GG4">
        <v>180</v>
      </c>
      <c r="GH4">
        <v>181</v>
      </c>
      <c r="GI4">
        <v>182</v>
      </c>
      <c r="GJ4">
        <v>183</v>
      </c>
      <c r="GK4">
        <v>184</v>
      </c>
      <c r="GL4">
        <v>185</v>
      </c>
      <c r="GM4">
        <v>186</v>
      </c>
      <c r="GN4">
        <v>187</v>
      </c>
      <c r="GO4">
        <v>188</v>
      </c>
      <c r="GP4">
        <v>189</v>
      </c>
      <c r="GQ4">
        <v>190</v>
      </c>
      <c r="GR4">
        <v>191</v>
      </c>
      <c r="GS4">
        <v>192</v>
      </c>
      <c r="GT4">
        <v>193</v>
      </c>
      <c r="GU4">
        <v>194</v>
      </c>
      <c r="GV4">
        <v>195</v>
      </c>
      <c r="GW4">
        <v>196</v>
      </c>
      <c r="GX4">
        <v>197</v>
      </c>
      <c r="GY4">
        <v>198</v>
      </c>
      <c r="GZ4">
        <v>199</v>
      </c>
      <c r="HA4">
        <v>200</v>
      </c>
      <c r="HB4">
        <v>201</v>
      </c>
      <c r="HC4">
        <v>202</v>
      </c>
      <c r="HD4">
        <v>203</v>
      </c>
      <c r="HE4">
        <v>204</v>
      </c>
      <c r="HF4">
        <v>205</v>
      </c>
      <c r="HG4">
        <v>206</v>
      </c>
      <c r="HH4">
        <v>207</v>
      </c>
      <c r="HI4">
        <v>208</v>
      </c>
      <c r="HJ4">
        <v>209</v>
      </c>
      <c r="HK4">
        <v>210</v>
      </c>
      <c r="HL4">
        <v>211</v>
      </c>
      <c r="HM4">
        <v>212</v>
      </c>
      <c r="HN4">
        <v>213</v>
      </c>
      <c r="HO4">
        <v>214</v>
      </c>
      <c r="HP4">
        <v>215</v>
      </c>
      <c r="HQ4">
        <v>216</v>
      </c>
      <c r="HR4">
        <v>217</v>
      </c>
      <c r="HS4">
        <v>218</v>
      </c>
      <c r="HT4">
        <v>219</v>
      </c>
      <c r="HU4">
        <v>220</v>
      </c>
      <c r="HV4">
        <v>221</v>
      </c>
      <c r="HW4">
        <v>222</v>
      </c>
      <c r="HX4">
        <v>223</v>
      </c>
      <c r="HY4">
        <v>224</v>
      </c>
      <c r="HZ4">
        <v>225</v>
      </c>
      <c r="IA4">
        <v>226</v>
      </c>
      <c r="IB4">
        <v>227</v>
      </c>
      <c r="IC4">
        <v>228</v>
      </c>
      <c r="ID4">
        <v>229</v>
      </c>
      <c r="IE4">
        <v>230</v>
      </c>
      <c r="IF4">
        <v>231</v>
      </c>
      <c r="IG4">
        <v>232</v>
      </c>
      <c r="IH4">
        <v>233</v>
      </c>
      <c r="II4">
        <v>234</v>
      </c>
      <c r="IJ4">
        <v>235</v>
      </c>
      <c r="IK4">
        <v>236</v>
      </c>
      <c r="IL4">
        <v>237</v>
      </c>
      <c r="IM4">
        <v>238</v>
      </c>
      <c r="IN4">
        <v>239</v>
      </c>
      <c r="IO4">
        <v>240</v>
      </c>
      <c r="IP4">
        <v>241</v>
      </c>
      <c r="IQ4">
        <v>242</v>
      </c>
      <c r="IR4">
        <v>243</v>
      </c>
      <c r="IS4">
        <v>244</v>
      </c>
      <c r="IT4">
        <v>245</v>
      </c>
      <c r="IU4">
        <v>246</v>
      </c>
      <c r="IV4">
        <v>247</v>
      </c>
      <c r="IW4">
        <v>248</v>
      </c>
      <c r="IX4">
        <v>249</v>
      </c>
      <c r="IY4">
        <v>250</v>
      </c>
    </row>
    <row r="5" spans="1:259" x14ac:dyDescent="0.3">
      <c r="A5">
        <f>CAMBIOS!A5</f>
        <v>10</v>
      </c>
      <c r="B5">
        <f>IF(D5=1,CAMBIOS!P5*Valor_1+CAMBIOS!Q5*Valor_2+CAMBIOS!R5*Valor_3,IF(CAMBIOS!P5=1,Valor_1,Valor_2))</f>
        <v>3</v>
      </c>
      <c r="C5">
        <f>IF(D5=1,0,IF(CAMBIOS!R5=1,Valor_3,Valor_2))</f>
        <v>0</v>
      </c>
      <c r="D5">
        <f>CAMBIOS!P5+CAMBIOS!Q5+CAMBIOS!R5</f>
        <v>1</v>
      </c>
      <c r="E5">
        <f t="shared" ref="E5:E34" si="0">MIN(J5:IY5)</f>
        <v>99999999</v>
      </c>
      <c r="F5">
        <f t="shared" ref="F5:F34" si="1">IF(D5=1,INT(A5/B5),IF(E5&gt;=99999999,0,MATCH(E5,J5:IY5,0)))</f>
        <v>3</v>
      </c>
      <c r="G5">
        <f t="shared" ref="G5:G34" si="2">IF(D5=1,0,IF(E5&gt;=99999999,0,INT((A5-F5*B5)/C5)))</f>
        <v>0</v>
      </c>
      <c r="H5">
        <f t="shared" ref="H5:H34" si="3">A5-F5*B5-G5*C5</f>
        <v>1</v>
      </c>
      <c r="J5">
        <f t="shared" ref="J5:S14" si="4">IF(OR($D5&lt;&gt;2,J$4*$B5+$C5&gt;$A5),99999999,(($A5-J$4*$B5)-INT(($A5-J$4*$B5)/$C5)*$C5)*100000+10000-J$4-INT(($A5-J$4*$B5)/$C5))</f>
        <v>99999999</v>
      </c>
      <c r="K5">
        <f t="shared" si="4"/>
        <v>99999999</v>
      </c>
      <c r="L5">
        <f t="shared" si="4"/>
        <v>99999999</v>
      </c>
      <c r="M5">
        <f t="shared" si="4"/>
        <v>99999999</v>
      </c>
      <c r="N5">
        <f t="shared" si="4"/>
        <v>99999999</v>
      </c>
      <c r="O5">
        <f t="shared" si="4"/>
        <v>99999999</v>
      </c>
      <c r="P5">
        <f t="shared" si="4"/>
        <v>99999999</v>
      </c>
      <c r="Q5">
        <f t="shared" si="4"/>
        <v>99999999</v>
      </c>
      <c r="R5">
        <f t="shared" si="4"/>
        <v>99999999</v>
      </c>
      <c r="S5">
        <f t="shared" si="4"/>
        <v>99999999</v>
      </c>
      <c r="T5">
        <f t="shared" ref="T5:AC14" si="5">IF(OR($D5&lt;&gt;2,T$4*$B5+$C5&gt;$A5),99999999,(($A5-T$4*$B5)-INT(($A5-T$4*$B5)/$C5)*$C5)*100000+10000-T$4-INT(($A5-T$4*$B5)/$C5))</f>
        <v>99999999</v>
      </c>
      <c r="U5">
        <f t="shared" si="5"/>
        <v>99999999</v>
      </c>
      <c r="V5">
        <f t="shared" si="5"/>
        <v>99999999</v>
      </c>
      <c r="W5">
        <f t="shared" si="5"/>
        <v>99999999</v>
      </c>
      <c r="X5">
        <f t="shared" si="5"/>
        <v>99999999</v>
      </c>
      <c r="Y5">
        <f t="shared" si="5"/>
        <v>99999999</v>
      </c>
      <c r="Z5">
        <f t="shared" si="5"/>
        <v>99999999</v>
      </c>
      <c r="AA5">
        <f t="shared" si="5"/>
        <v>99999999</v>
      </c>
      <c r="AB5">
        <f t="shared" si="5"/>
        <v>99999999</v>
      </c>
      <c r="AC5">
        <f t="shared" si="5"/>
        <v>99999999</v>
      </c>
      <c r="AD5">
        <f t="shared" ref="AD5:AM14" si="6">IF(OR($D5&lt;&gt;2,AD$4*$B5+$C5&gt;$A5),99999999,(($A5-AD$4*$B5)-INT(($A5-AD$4*$B5)/$C5)*$C5)*100000+10000-AD$4-INT(($A5-AD$4*$B5)/$C5))</f>
        <v>99999999</v>
      </c>
      <c r="AE5">
        <f t="shared" si="6"/>
        <v>99999999</v>
      </c>
      <c r="AF5">
        <f t="shared" si="6"/>
        <v>99999999</v>
      </c>
      <c r="AG5">
        <f t="shared" si="6"/>
        <v>99999999</v>
      </c>
      <c r="AH5">
        <f t="shared" si="6"/>
        <v>99999999</v>
      </c>
      <c r="AI5">
        <f t="shared" si="6"/>
        <v>99999999</v>
      </c>
      <c r="AJ5">
        <f t="shared" si="6"/>
        <v>99999999</v>
      </c>
      <c r="AK5">
        <f t="shared" si="6"/>
        <v>99999999</v>
      </c>
      <c r="AL5">
        <f t="shared" si="6"/>
        <v>99999999</v>
      </c>
      <c r="AM5">
        <f t="shared" si="6"/>
        <v>99999999</v>
      </c>
      <c r="AN5">
        <f t="shared" ref="AN5:AW14" si="7">IF(OR($D5&lt;&gt;2,AN$4*$B5+$C5&gt;$A5),99999999,(($A5-AN$4*$B5)-INT(($A5-AN$4*$B5)/$C5)*$C5)*100000+10000-AN$4-INT(($A5-AN$4*$B5)/$C5))</f>
        <v>99999999</v>
      </c>
      <c r="AO5">
        <f t="shared" si="7"/>
        <v>99999999</v>
      </c>
      <c r="AP5">
        <f t="shared" si="7"/>
        <v>99999999</v>
      </c>
      <c r="AQ5">
        <f t="shared" si="7"/>
        <v>99999999</v>
      </c>
      <c r="AR5">
        <f t="shared" si="7"/>
        <v>99999999</v>
      </c>
      <c r="AS5">
        <f t="shared" si="7"/>
        <v>99999999</v>
      </c>
      <c r="AT5">
        <f t="shared" si="7"/>
        <v>99999999</v>
      </c>
      <c r="AU5">
        <f t="shared" si="7"/>
        <v>99999999</v>
      </c>
      <c r="AV5">
        <f t="shared" si="7"/>
        <v>99999999</v>
      </c>
      <c r="AW5">
        <f t="shared" si="7"/>
        <v>99999999</v>
      </c>
      <c r="AX5">
        <f t="shared" ref="AX5:BG14" si="8">IF(OR($D5&lt;&gt;2,AX$4*$B5+$C5&gt;$A5),99999999,(($A5-AX$4*$B5)-INT(($A5-AX$4*$B5)/$C5)*$C5)*100000+10000-AX$4-INT(($A5-AX$4*$B5)/$C5))</f>
        <v>99999999</v>
      </c>
      <c r="AY5">
        <f t="shared" si="8"/>
        <v>99999999</v>
      </c>
      <c r="AZ5">
        <f t="shared" si="8"/>
        <v>99999999</v>
      </c>
      <c r="BA5">
        <f t="shared" si="8"/>
        <v>99999999</v>
      </c>
      <c r="BB5">
        <f t="shared" si="8"/>
        <v>99999999</v>
      </c>
      <c r="BC5">
        <f t="shared" si="8"/>
        <v>99999999</v>
      </c>
      <c r="BD5">
        <f t="shared" si="8"/>
        <v>99999999</v>
      </c>
      <c r="BE5">
        <f t="shared" si="8"/>
        <v>99999999</v>
      </c>
      <c r="BF5">
        <f t="shared" si="8"/>
        <v>99999999</v>
      </c>
      <c r="BG5">
        <f t="shared" si="8"/>
        <v>99999999</v>
      </c>
      <c r="BH5">
        <f t="shared" ref="BH5:BQ14" si="9">IF(OR($D5&lt;&gt;2,BH$4*$B5+$C5&gt;$A5),99999999,(($A5-BH$4*$B5)-INT(($A5-BH$4*$B5)/$C5)*$C5)*100000+10000-BH$4-INT(($A5-BH$4*$B5)/$C5))</f>
        <v>99999999</v>
      </c>
      <c r="BI5">
        <f t="shared" si="9"/>
        <v>99999999</v>
      </c>
      <c r="BJ5">
        <f t="shared" si="9"/>
        <v>99999999</v>
      </c>
      <c r="BK5">
        <f t="shared" si="9"/>
        <v>99999999</v>
      </c>
      <c r="BL5">
        <f t="shared" si="9"/>
        <v>99999999</v>
      </c>
      <c r="BM5">
        <f t="shared" si="9"/>
        <v>99999999</v>
      </c>
      <c r="BN5">
        <f t="shared" si="9"/>
        <v>99999999</v>
      </c>
      <c r="BO5">
        <f t="shared" si="9"/>
        <v>99999999</v>
      </c>
      <c r="BP5">
        <f t="shared" si="9"/>
        <v>99999999</v>
      </c>
      <c r="BQ5">
        <f t="shared" si="9"/>
        <v>99999999</v>
      </c>
      <c r="BR5">
        <f t="shared" ref="BR5:CA14" si="10">IF(OR($D5&lt;&gt;2,BR$4*$B5+$C5&gt;$A5),99999999,(($A5-BR$4*$B5)-INT(($A5-BR$4*$B5)/$C5)*$C5)*100000+10000-BR$4-INT(($A5-BR$4*$B5)/$C5))</f>
        <v>99999999</v>
      </c>
      <c r="BS5">
        <f t="shared" si="10"/>
        <v>99999999</v>
      </c>
      <c r="BT5">
        <f t="shared" si="10"/>
        <v>99999999</v>
      </c>
      <c r="BU5">
        <f t="shared" si="10"/>
        <v>99999999</v>
      </c>
      <c r="BV5">
        <f t="shared" si="10"/>
        <v>99999999</v>
      </c>
      <c r="BW5">
        <f t="shared" si="10"/>
        <v>99999999</v>
      </c>
      <c r="BX5">
        <f t="shared" si="10"/>
        <v>99999999</v>
      </c>
      <c r="BY5">
        <f t="shared" si="10"/>
        <v>99999999</v>
      </c>
      <c r="BZ5">
        <f t="shared" si="10"/>
        <v>99999999</v>
      </c>
      <c r="CA5">
        <f t="shared" si="10"/>
        <v>99999999</v>
      </c>
      <c r="CB5">
        <f t="shared" ref="CB5:CK14" si="11">IF(OR($D5&lt;&gt;2,CB$4*$B5+$C5&gt;$A5),99999999,(($A5-CB$4*$B5)-INT(($A5-CB$4*$B5)/$C5)*$C5)*100000+10000-CB$4-INT(($A5-CB$4*$B5)/$C5))</f>
        <v>99999999</v>
      </c>
      <c r="CC5">
        <f t="shared" si="11"/>
        <v>99999999</v>
      </c>
      <c r="CD5">
        <f t="shared" si="11"/>
        <v>99999999</v>
      </c>
      <c r="CE5">
        <f t="shared" si="11"/>
        <v>99999999</v>
      </c>
      <c r="CF5">
        <f t="shared" si="11"/>
        <v>99999999</v>
      </c>
      <c r="CG5">
        <f t="shared" si="11"/>
        <v>99999999</v>
      </c>
      <c r="CH5">
        <f t="shared" si="11"/>
        <v>99999999</v>
      </c>
      <c r="CI5">
        <f t="shared" si="11"/>
        <v>99999999</v>
      </c>
      <c r="CJ5">
        <f t="shared" si="11"/>
        <v>99999999</v>
      </c>
      <c r="CK5">
        <f t="shared" si="11"/>
        <v>99999999</v>
      </c>
      <c r="CL5">
        <f t="shared" ref="CL5:CU14" si="12">IF(OR($D5&lt;&gt;2,CL$4*$B5+$C5&gt;$A5),99999999,(($A5-CL$4*$B5)-INT(($A5-CL$4*$B5)/$C5)*$C5)*100000+10000-CL$4-INT(($A5-CL$4*$B5)/$C5))</f>
        <v>99999999</v>
      </c>
      <c r="CM5">
        <f t="shared" si="12"/>
        <v>99999999</v>
      </c>
      <c r="CN5">
        <f t="shared" si="12"/>
        <v>99999999</v>
      </c>
      <c r="CO5">
        <f t="shared" si="12"/>
        <v>99999999</v>
      </c>
      <c r="CP5">
        <f t="shared" si="12"/>
        <v>99999999</v>
      </c>
      <c r="CQ5">
        <f t="shared" si="12"/>
        <v>99999999</v>
      </c>
      <c r="CR5">
        <f t="shared" si="12"/>
        <v>99999999</v>
      </c>
      <c r="CS5">
        <f t="shared" si="12"/>
        <v>99999999</v>
      </c>
      <c r="CT5">
        <f t="shared" si="12"/>
        <v>99999999</v>
      </c>
      <c r="CU5">
        <f t="shared" si="12"/>
        <v>99999999</v>
      </c>
      <c r="CV5">
        <f t="shared" ref="CV5:DE14" si="13">IF(OR($D5&lt;&gt;2,CV$4*$B5+$C5&gt;$A5),99999999,(($A5-CV$4*$B5)-INT(($A5-CV$4*$B5)/$C5)*$C5)*100000+10000-CV$4-INT(($A5-CV$4*$B5)/$C5))</f>
        <v>99999999</v>
      </c>
      <c r="CW5">
        <f t="shared" si="13"/>
        <v>99999999</v>
      </c>
      <c r="CX5">
        <f t="shared" si="13"/>
        <v>99999999</v>
      </c>
      <c r="CY5">
        <f t="shared" si="13"/>
        <v>99999999</v>
      </c>
      <c r="CZ5">
        <f t="shared" si="13"/>
        <v>99999999</v>
      </c>
      <c r="DA5">
        <f t="shared" si="13"/>
        <v>99999999</v>
      </c>
      <c r="DB5">
        <f t="shared" si="13"/>
        <v>99999999</v>
      </c>
      <c r="DC5">
        <f t="shared" si="13"/>
        <v>99999999</v>
      </c>
      <c r="DD5">
        <f t="shared" si="13"/>
        <v>99999999</v>
      </c>
      <c r="DE5">
        <f t="shared" si="13"/>
        <v>99999999</v>
      </c>
      <c r="DF5">
        <f t="shared" ref="DF5:DO14" si="14">IF(OR($D5&lt;&gt;2,DF$4*$B5+$C5&gt;$A5),99999999,(($A5-DF$4*$B5)-INT(($A5-DF$4*$B5)/$C5)*$C5)*100000+10000-DF$4-INT(($A5-DF$4*$B5)/$C5))</f>
        <v>99999999</v>
      </c>
      <c r="DG5">
        <f t="shared" si="14"/>
        <v>99999999</v>
      </c>
      <c r="DH5">
        <f t="shared" si="14"/>
        <v>99999999</v>
      </c>
      <c r="DI5">
        <f t="shared" si="14"/>
        <v>99999999</v>
      </c>
      <c r="DJ5">
        <f t="shared" si="14"/>
        <v>99999999</v>
      </c>
      <c r="DK5">
        <f t="shared" si="14"/>
        <v>99999999</v>
      </c>
      <c r="DL5">
        <f t="shared" si="14"/>
        <v>99999999</v>
      </c>
      <c r="DM5">
        <f t="shared" si="14"/>
        <v>99999999</v>
      </c>
      <c r="DN5">
        <f t="shared" si="14"/>
        <v>99999999</v>
      </c>
      <c r="DO5">
        <f t="shared" si="14"/>
        <v>99999999</v>
      </c>
      <c r="DP5">
        <f t="shared" ref="DP5:DY14" si="15">IF(OR($D5&lt;&gt;2,DP$4*$B5+$C5&gt;$A5),99999999,(($A5-DP$4*$B5)-INT(($A5-DP$4*$B5)/$C5)*$C5)*100000+10000-DP$4-INT(($A5-DP$4*$B5)/$C5))</f>
        <v>99999999</v>
      </c>
      <c r="DQ5">
        <f t="shared" si="15"/>
        <v>99999999</v>
      </c>
      <c r="DR5">
        <f t="shared" si="15"/>
        <v>99999999</v>
      </c>
      <c r="DS5">
        <f t="shared" si="15"/>
        <v>99999999</v>
      </c>
      <c r="DT5">
        <f t="shared" si="15"/>
        <v>99999999</v>
      </c>
      <c r="DU5">
        <f t="shared" si="15"/>
        <v>99999999</v>
      </c>
      <c r="DV5">
        <f t="shared" si="15"/>
        <v>99999999</v>
      </c>
      <c r="DW5">
        <f t="shared" si="15"/>
        <v>99999999</v>
      </c>
      <c r="DX5">
        <f t="shared" si="15"/>
        <v>99999999</v>
      </c>
      <c r="DY5">
        <f t="shared" si="15"/>
        <v>99999999</v>
      </c>
      <c r="DZ5">
        <f t="shared" ref="DZ5:EI14" si="16">IF(OR($D5&lt;&gt;2,DZ$4*$B5+$C5&gt;$A5),99999999,(($A5-DZ$4*$B5)-INT(($A5-DZ$4*$B5)/$C5)*$C5)*100000+10000-DZ$4-INT(($A5-DZ$4*$B5)/$C5))</f>
        <v>99999999</v>
      </c>
      <c r="EA5">
        <f t="shared" si="16"/>
        <v>99999999</v>
      </c>
      <c r="EB5">
        <f t="shared" si="16"/>
        <v>99999999</v>
      </c>
      <c r="EC5">
        <f t="shared" si="16"/>
        <v>99999999</v>
      </c>
      <c r="ED5">
        <f t="shared" si="16"/>
        <v>99999999</v>
      </c>
      <c r="EE5">
        <f t="shared" si="16"/>
        <v>99999999</v>
      </c>
      <c r="EF5">
        <f t="shared" si="16"/>
        <v>99999999</v>
      </c>
      <c r="EG5">
        <f t="shared" si="16"/>
        <v>99999999</v>
      </c>
      <c r="EH5">
        <f t="shared" si="16"/>
        <v>99999999</v>
      </c>
      <c r="EI5">
        <f t="shared" si="16"/>
        <v>99999999</v>
      </c>
      <c r="EJ5">
        <f t="shared" ref="EJ5:ES14" si="17">IF(OR($D5&lt;&gt;2,EJ$4*$B5+$C5&gt;$A5),99999999,(($A5-EJ$4*$B5)-INT(($A5-EJ$4*$B5)/$C5)*$C5)*100000+10000-EJ$4-INT(($A5-EJ$4*$B5)/$C5))</f>
        <v>99999999</v>
      </c>
      <c r="EK5">
        <f t="shared" si="17"/>
        <v>99999999</v>
      </c>
      <c r="EL5">
        <f t="shared" si="17"/>
        <v>99999999</v>
      </c>
      <c r="EM5">
        <f t="shared" si="17"/>
        <v>99999999</v>
      </c>
      <c r="EN5">
        <f t="shared" si="17"/>
        <v>99999999</v>
      </c>
      <c r="EO5">
        <f t="shared" si="17"/>
        <v>99999999</v>
      </c>
      <c r="EP5">
        <f t="shared" si="17"/>
        <v>99999999</v>
      </c>
      <c r="EQ5">
        <f t="shared" si="17"/>
        <v>99999999</v>
      </c>
      <c r="ER5">
        <f t="shared" si="17"/>
        <v>99999999</v>
      </c>
      <c r="ES5">
        <f t="shared" si="17"/>
        <v>99999999</v>
      </c>
      <c r="ET5">
        <f t="shared" ref="ET5:FC14" si="18">IF(OR($D5&lt;&gt;2,ET$4*$B5+$C5&gt;$A5),99999999,(($A5-ET$4*$B5)-INT(($A5-ET$4*$B5)/$C5)*$C5)*100000+10000-ET$4-INT(($A5-ET$4*$B5)/$C5))</f>
        <v>99999999</v>
      </c>
      <c r="EU5">
        <f t="shared" si="18"/>
        <v>99999999</v>
      </c>
      <c r="EV5">
        <f t="shared" si="18"/>
        <v>99999999</v>
      </c>
      <c r="EW5">
        <f t="shared" si="18"/>
        <v>99999999</v>
      </c>
      <c r="EX5">
        <f t="shared" si="18"/>
        <v>99999999</v>
      </c>
      <c r="EY5">
        <f t="shared" si="18"/>
        <v>99999999</v>
      </c>
      <c r="EZ5">
        <f t="shared" si="18"/>
        <v>99999999</v>
      </c>
      <c r="FA5">
        <f t="shared" si="18"/>
        <v>99999999</v>
      </c>
      <c r="FB5">
        <f t="shared" si="18"/>
        <v>99999999</v>
      </c>
      <c r="FC5">
        <f t="shared" si="18"/>
        <v>99999999</v>
      </c>
      <c r="FD5">
        <f t="shared" ref="FD5:FM14" si="19">IF(OR($D5&lt;&gt;2,FD$4*$B5+$C5&gt;$A5),99999999,(($A5-FD$4*$B5)-INT(($A5-FD$4*$B5)/$C5)*$C5)*100000+10000-FD$4-INT(($A5-FD$4*$B5)/$C5))</f>
        <v>99999999</v>
      </c>
      <c r="FE5">
        <f t="shared" si="19"/>
        <v>99999999</v>
      </c>
      <c r="FF5">
        <f t="shared" si="19"/>
        <v>99999999</v>
      </c>
      <c r="FG5">
        <f t="shared" si="19"/>
        <v>99999999</v>
      </c>
      <c r="FH5">
        <f t="shared" si="19"/>
        <v>99999999</v>
      </c>
      <c r="FI5">
        <f t="shared" si="19"/>
        <v>99999999</v>
      </c>
      <c r="FJ5">
        <f t="shared" si="19"/>
        <v>99999999</v>
      </c>
      <c r="FK5">
        <f t="shared" si="19"/>
        <v>99999999</v>
      </c>
      <c r="FL5">
        <f t="shared" si="19"/>
        <v>99999999</v>
      </c>
      <c r="FM5">
        <f t="shared" si="19"/>
        <v>99999999</v>
      </c>
      <c r="FN5">
        <f t="shared" ref="FN5:FW14" si="20">IF(OR($D5&lt;&gt;2,FN$4*$B5+$C5&gt;$A5),99999999,(($A5-FN$4*$B5)-INT(($A5-FN$4*$B5)/$C5)*$C5)*100000+10000-FN$4-INT(($A5-FN$4*$B5)/$C5))</f>
        <v>99999999</v>
      </c>
      <c r="FO5">
        <f t="shared" si="20"/>
        <v>99999999</v>
      </c>
      <c r="FP5">
        <f t="shared" si="20"/>
        <v>99999999</v>
      </c>
      <c r="FQ5">
        <f t="shared" si="20"/>
        <v>99999999</v>
      </c>
      <c r="FR5">
        <f t="shared" si="20"/>
        <v>99999999</v>
      </c>
      <c r="FS5">
        <f t="shared" si="20"/>
        <v>99999999</v>
      </c>
      <c r="FT5">
        <f t="shared" si="20"/>
        <v>99999999</v>
      </c>
      <c r="FU5">
        <f t="shared" si="20"/>
        <v>99999999</v>
      </c>
      <c r="FV5">
        <f t="shared" si="20"/>
        <v>99999999</v>
      </c>
      <c r="FW5">
        <f t="shared" si="20"/>
        <v>99999999</v>
      </c>
      <c r="FX5">
        <f t="shared" ref="FX5:GG14" si="21">IF(OR($D5&lt;&gt;2,FX$4*$B5+$C5&gt;$A5),99999999,(($A5-FX$4*$B5)-INT(($A5-FX$4*$B5)/$C5)*$C5)*100000+10000-FX$4-INT(($A5-FX$4*$B5)/$C5))</f>
        <v>99999999</v>
      </c>
      <c r="FY5">
        <f t="shared" si="21"/>
        <v>99999999</v>
      </c>
      <c r="FZ5">
        <f t="shared" si="21"/>
        <v>99999999</v>
      </c>
      <c r="GA5">
        <f t="shared" si="21"/>
        <v>99999999</v>
      </c>
      <c r="GB5">
        <f t="shared" si="21"/>
        <v>99999999</v>
      </c>
      <c r="GC5">
        <f t="shared" si="21"/>
        <v>99999999</v>
      </c>
      <c r="GD5">
        <f t="shared" si="21"/>
        <v>99999999</v>
      </c>
      <c r="GE5">
        <f t="shared" si="21"/>
        <v>99999999</v>
      </c>
      <c r="GF5">
        <f t="shared" si="21"/>
        <v>99999999</v>
      </c>
      <c r="GG5">
        <f t="shared" si="21"/>
        <v>99999999</v>
      </c>
      <c r="GH5">
        <f t="shared" ref="GH5:GQ14" si="22">IF(OR($D5&lt;&gt;2,GH$4*$B5+$C5&gt;$A5),99999999,(($A5-GH$4*$B5)-INT(($A5-GH$4*$B5)/$C5)*$C5)*100000+10000-GH$4-INT(($A5-GH$4*$B5)/$C5))</f>
        <v>99999999</v>
      </c>
      <c r="GI5">
        <f t="shared" si="22"/>
        <v>99999999</v>
      </c>
      <c r="GJ5">
        <f t="shared" si="22"/>
        <v>99999999</v>
      </c>
      <c r="GK5">
        <f t="shared" si="22"/>
        <v>99999999</v>
      </c>
      <c r="GL5">
        <f t="shared" si="22"/>
        <v>99999999</v>
      </c>
      <c r="GM5">
        <f t="shared" si="22"/>
        <v>99999999</v>
      </c>
      <c r="GN5">
        <f t="shared" si="22"/>
        <v>99999999</v>
      </c>
      <c r="GO5">
        <f t="shared" si="22"/>
        <v>99999999</v>
      </c>
      <c r="GP5">
        <f t="shared" si="22"/>
        <v>99999999</v>
      </c>
      <c r="GQ5">
        <f t="shared" si="22"/>
        <v>99999999</v>
      </c>
      <c r="GR5">
        <f t="shared" ref="GR5:HA14" si="23">IF(OR($D5&lt;&gt;2,GR$4*$B5+$C5&gt;$A5),99999999,(($A5-GR$4*$B5)-INT(($A5-GR$4*$B5)/$C5)*$C5)*100000+10000-GR$4-INT(($A5-GR$4*$B5)/$C5))</f>
        <v>99999999</v>
      </c>
      <c r="GS5">
        <f t="shared" si="23"/>
        <v>99999999</v>
      </c>
      <c r="GT5">
        <f t="shared" si="23"/>
        <v>99999999</v>
      </c>
      <c r="GU5">
        <f t="shared" si="23"/>
        <v>99999999</v>
      </c>
      <c r="GV5">
        <f t="shared" si="23"/>
        <v>99999999</v>
      </c>
      <c r="GW5">
        <f t="shared" si="23"/>
        <v>99999999</v>
      </c>
      <c r="GX5">
        <f t="shared" si="23"/>
        <v>99999999</v>
      </c>
      <c r="GY5">
        <f t="shared" si="23"/>
        <v>99999999</v>
      </c>
      <c r="GZ5">
        <f t="shared" si="23"/>
        <v>99999999</v>
      </c>
      <c r="HA5">
        <f t="shared" si="23"/>
        <v>99999999</v>
      </c>
      <c r="HB5">
        <f t="shared" ref="HB5:HK14" si="24">IF(OR($D5&lt;&gt;2,HB$4*$B5+$C5&gt;$A5),99999999,(($A5-HB$4*$B5)-INT(($A5-HB$4*$B5)/$C5)*$C5)*100000+10000-HB$4-INT(($A5-HB$4*$B5)/$C5))</f>
        <v>99999999</v>
      </c>
      <c r="HC5">
        <f t="shared" si="24"/>
        <v>99999999</v>
      </c>
      <c r="HD5">
        <f t="shared" si="24"/>
        <v>99999999</v>
      </c>
      <c r="HE5">
        <f t="shared" si="24"/>
        <v>99999999</v>
      </c>
      <c r="HF5">
        <f t="shared" si="24"/>
        <v>99999999</v>
      </c>
      <c r="HG5">
        <f t="shared" si="24"/>
        <v>99999999</v>
      </c>
      <c r="HH5">
        <f t="shared" si="24"/>
        <v>99999999</v>
      </c>
      <c r="HI5">
        <f t="shared" si="24"/>
        <v>99999999</v>
      </c>
      <c r="HJ5">
        <f t="shared" si="24"/>
        <v>99999999</v>
      </c>
      <c r="HK5">
        <f t="shared" si="24"/>
        <v>99999999</v>
      </c>
      <c r="HL5">
        <f t="shared" ref="HL5:HU14" si="25">IF(OR($D5&lt;&gt;2,HL$4*$B5+$C5&gt;$A5),99999999,(($A5-HL$4*$B5)-INT(($A5-HL$4*$B5)/$C5)*$C5)*100000+10000-HL$4-INT(($A5-HL$4*$B5)/$C5))</f>
        <v>99999999</v>
      </c>
      <c r="HM5">
        <f t="shared" si="25"/>
        <v>99999999</v>
      </c>
      <c r="HN5">
        <f t="shared" si="25"/>
        <v>99999999</v>
      </c>
      <c r="HO5">
        <f t="shared" si="25"/>
        <v>99999999</v>
      </c>
      <c r="HP5">
        <f t="shared" si="25"/>
        <v>99999999</v>
      </c>
      <c r="HQ5">
        <f t="shared" si="25"/>
        <v>99999999</v>
      </c>
      <c r="HR5">
        <f t="shared" si="25"/>
        <v>99999999</v>
      </c>
      <c r="HS5">
        <f t="shared" si="25"/>
        <v>99999999</v>
      </c>
      <c r="HT5">
        <f t="shared" si="25"/>
        <v>99999999</v>
      </c>
      <c r="HU5">
        <f t="shared" si="25"/>
        <v>99999999</v>
      </c>
      <c r="HV5">
        <f t="shared" ref="HV5:IE14" si="26">IF(OR($D5&lt;&gt;2,HV$4*$B5+$C5&gt;$A5),99999999,(($A5-HV$4*$B5)-INT(($A5-HV$4*$B5)/$C5)*$C5)*100000+10000-HV$4-INT(($A5-HV$4*$B5)/$C5))</f>
        <v>99999999</v>
      </c>
      <c r="HW5">
        <f t="shared" si="26"/>
        <v>99999999</v>
      </c>
      <c r="HX5">
        <f t="shared" si="26"/>
        <v>99999999</v>
      </c>
      <c r="HY5">
        <f t="shared" si="26"/>
        <v>99999999</v>
      </c>
      <c r="HZ5">
        <f t="shared" si="26"/>
        <v>99999999</v>
      </c>
      <c r="IA5">
        <f t="shared" si="26"/>
        <v>99999999</v>
      </c>
      <c r="IB5">
        <f t="shared" si="26"/>
        <v>99999999</v>
      </c>
      <c r="IC5">
        <f t="shared" si="26"/>
        <v>99999999</v>
      </c>
      <c r="ID5">
        <f t="shared" si="26"/>
        <v>99999999</v>
      </c>
      <c r="IE5">
        <f t="shared" si="26"/>
        <v>99999999</v>
      </c>
      <c r="IF5">
        <f t="shared" ref="IF5:IO14" si="27">IF(OR($D5&lt;&gt;2,IF$4*$B5+$C5&gt;$A5),99999999,(($A5-IF$4*$B5)-INT(($A5-IF$4*$B5)/$C5)*$C5)*100000+10000-IF$4-INT(($A5-IF$4*$B5)/$C5))</f>
        <v>99999999</v>
      </c>
      <c r="IG5">
        <f t="shared" si="27"/>
        <v>99999999</v>
      </c>
      <c r="IH5">
        <f t="shared" si="27"/>
        <v>99999999</v>
      </c>
      <c r="II5">
        <f t="shared" si="27"/>
        <v>99999999</v>
      </c>
      <c r="IJ5">
        <f t="shared" si="27"/>
        <v>99999999</v>
      </c>
      <c r="IK5">
        <f t="shared" si="27"/>
        <v>99999999</v>
      </c>
      <c r="IL5">
        <f t="shared" si="27"/>
        <v>99999999</v>
      </c>
      <c r="IM5">
        <f t="shared" si="27"/>
        <v>99999999</v>
      </c>
      <c r="IN5">
        <f t="shared" si="27"/>
        <v>99999999</v>
      </c>
      <c r="IO5">
        <f t="shared" si="27"/>
        <v>99999999</v>
      </c>
      <c r="IP5">
        <f t="shared" ref="IP5:IY14" si="28">IF(OR($D5&lt;&gt;2,IP$4*$B5+$C5&gt;$A5),99999999,(($A5-IP$4*$B5)-INT(($A5-IP$4*$B5)/$C5)*$C5)*100000+10000-IP$4-INT(($A5-IP$4*$B5)/$C5))</f>
        <v>99999999</v>
      </c>
      <c r="IQ5">
        <f t="shared" si="28"/>
        <v>99999999</v>
      </c>
      <c r="IR5">
        <f t="shared" si="28"/>
        <v>99999999</v>
      </c>
      <c r="IS5">
        <f t="shared" si="28"/>
        <v>99999999</v>
      </c>
      <c r="IT5">
        <f t="shared" si="28"/>
        <v>99999999</v>
      </c>
      <c r="IU5">
        <f t="shared" si="28"/>
        <v>99999999</v>
      </c>
      <c r="IV5">
        <f t="shared" si="28"/>
        <v>99999999</v>
      </c>
      <c r="IW5">
        <f t="shared" si="28"/>
        <v>99999999</v>
      </c>
      <c r="IX5">
        <f t="shared" si="28"/>
        <v>99999999</v>
      </c>
      <c r="IY5">
        <f t="shared" si="28"/>
        <v>99999999</v>
      </c>
    </row>
    <row r="6" spans="1:259" x14ac:dyDescent="0.3">
      <c r="A6">
        <f>CAMBIOS!A6</f>
        <v>10</v>
      </c>
      <c r="B6">
        <f>IF(D6=1,CAMBIOS!P6*Valor_1+CAMBIOS!Q6*Valor_2+CAMBIOS!R6*Valor_3,IF(CAMBIOS!P6=1,Valor_1,Valor_2))</f>
        <v>5</v>
      </c>
      <c r="C6">
        <f>IF(D6=1,0,IF(CAMBIOS!R6=1,Valor_3,Valor_2))</f>
        <v>0</v>
      </c>
      <c r="D6">
        <f>CAMBIOS!P6+CAMBIOS!Q6+CAMBIOS!R6</f>
        <v>1</v>
      </c>
      <c r="E6">
        <f t="shared" si="0"/>
        <v>99999999</v>
      </c>
      <c r="F6">
        <f t="shared" si="1"/>
        <v>2</v>
      </c>
      <c r="G6">
        <f t="shared" si="2"/>
        <v>0</v>
      </c>
      <c r="H6">
        <f t="shared" si="3"/>
        <v>0</v>
      </c>
      <c r="J6">
        <f t="shared" si="4"/>
        <v>99999999</v>
      </c>
      <c r="K6">
        <f t="shared" si="4"/>
        <v>99999999</v>
      </c>
      <c r="L6">
        <f t="shared" si="4"/>
        <v>99999999</v>
      </c>
      <c r="M6">
        <f t="shared" si="4"/>
        <v>99999999</v>
      </c>
      <c r="N6">
        <f t="shared" si="4"/>
        <v>99999999</v>
      </c>
      <c r="O6">
        <f t="shared" si="4"/>
        <v>99999999</v>
      </c>
      <c r="P6">
        <f t="shared" si="4"/>
        <v>99999999</v>
      </c>
      <c r="Q6">
        <f t="shared" si="4"/>
        <v>99999999</v>
      </c>
      <c r="R6">
        <f t="shared" si="4"/>
        <v>99999999</v>
      </c>
      <c r="S6">
        <f t="shared" si="4"/>
        <v>99999999</v>
      </c>
      <c r="T6">
        <f t="shared" si="5"/>
        <v>99999999</v>
      </c>
      <c r="U6">
        <f t="shared" si="5"/>
        <v>99999999</v>
      </c>
      <c r="V6">
        <f t="shared" si="5"/>
        <v>99999999</v>
      </c>
      <c r="W6">
        <f t="shared" si="5"/>
        <v>99999999</v>
      </c>
      <c r="X6">
        <f t="shared" si="5"/>
        <v>99999999</v>
      </c>
      <c r="Y6">
        <f t="shared" si="5"/>
        <v>99999999</v>
      </c>
      <c r="Z6">
        <f t="shared" si="5"/>
        <v>99999999</v>
      </c>
      <c r="AA6">
        <f t="shared" si="5"/>
        <v>99999999</v>
      </c>
      <c r="AB6">
        <f t="shared" si="5"/>
        <v>99999999</v>
      </c>
      <c r="AC6">
        <f t="shared" si="5"/>
        <v>99999999</v>
      </c>
      <c r="AD6">
        <f t="shared" si="6"/>
        <v>99999999</v>
      </c>
      <c r="AE6">
        <f t="shared" si="6"/>
        <v>99999999</v>
      </c>
      <c r="AF6">
        <f t="shared" si="6"/>
        <v>99999999</v>
      </c>
      <c r="AG6">
        <f t="shared" si="6"/>
        <v>99999999</v>
      </c>
      <c r="AH6">
        <f t="shared" si="6"/>
        <v>99999999</v>
      </c>
      <c r="AI6">
        <f t="shared" si="6"/>
        <v>99999999</v>
      </c>
      <c r="AJ6">
        <f t="shared" si="6"/>
        <v>99999999</v>
      </c>
      <c r="AK6">
        <f t="shared" si="6"/>
        <v>99999999</v>
      </c>
      <c r="AL6">
        <f t="shared" si="6"/>
        <v>99999999</v>
      </c>
      <c r="AM6">
        <f t="shared" si="6"/>
        <v>99999999</v>
      </c>
      <c r="AN6">
        <f t="shared" si="7"/>
        <v>99999999</v>
      </c>
      <c r="AO6">
        <f t="shared" si="7"/>
        <v>99999999</v>
      </c>
      <c r="AP6">
        <f t="shared" si="7"/>
        <v>99999999</v>
      </c>
      <c r="AQ6">
        <f t="shared" si="7"/>
        <v>99999999</v>
      </c>
      <c r="AR6">
        <f t="shared" si="7"/>
        <v>99999999</v>
      </c>
      <c r="AS6">
        <f t="shared" si="7"/>
        <v>99999999</v>
      </c>
      <c r="AT6">
        <f t="shared" si="7"/>
        <v>99999999</v>
      </c>
      <c r="AU6">
        <f t="shared" si="7"/>
        <v>99999999</v>
      </c>
      <c r="AV6">
        <f t="shared" si="7"/>
        <v>99999999</v>
      </c>
      <c r="AW6">
        <f t="shared" si="7"/>
        <v>99999999</v>
      </c>
      <c r="AX6">
        <f t="shared" si="8"/>
        <v>99999999</v>
      </c>
      <c r="AY6">
        <f t="shared" si="8"/>
        <v>99999999</v>
      </c>
      <c r="AZ6">
        <f t="shared" si="8"/>
        <v>99999999</v>
      </c>
      <c r="BA6">
        <f t="shared" si="8"/>
        <v>99999999</v>
      </c>
      <c r="BB6">
        <f t="shared" si="8"/>
        <v>99999999</v>
      </c>
      <c r="BC6">
        <f t="shared" si="8"/>
        <v>99999999</v>
      </c>
      <c r="BD6">
        <f t="shared" si="8"/>
        <v>99999999</v>
      </c>
      <c r="BE6">
        <f t="shared" si="8"/>
        <v>99999999</v>
      </c>
      <c r="BF6">
        <f t="shared" si="8"/>
        <v>99999999</v>
      </c>
      <c r="BG6">
        <f t="shared" si="8"/>
        <v>99999999</v>
      </c>
      <c r="BH6">
        <f t="shared" si="9"/>
        <v>99999999</v>
      </c>
      <c r="BI6">
        <f t="shared" si="9"/>
        <v>99999999</v>
      </c>
      <c r="BJ6">
        <f t="shared" si="9"/>
        <v>99999999</v>
      </c>
      <c r="BK6">
        <f t="shared" si="9"/>
        <v>99999999</v>
      </c>
      <c r="BL6">
        <f t="shared" si="9"/>
        <v>99999999</v>
      </c>
      <c r="BM6">
        <f t="shared" si="9"/>
        <v>99999999</v>
      </c>
      <c r="BN6">
        <f t="shared" si="9"/>
        <v>99999999</v>
      </c>
      <c r="BO6">
        <f t="shared" si="9"/>
        <v>99999999</v>
      </c>
      <c r="BP6">
        <f t="shared" si="9"/>
        <v>99999999</v>
      </c>
      <c r="BQ6">
        <f t="shared" si="9"/>
        <v>99999999</v>
      </c>
      <c r="BR6">
        <f t="shared" si="10"/>
        <v>99999999</v>
      </c>
      <c r="BS6">
        <f t="shared" si="10"/>
        <v>99999999</v>
      </c>
      <c r="BT6">
        <f t="shared" si="10"/>
        <v>99999999</v>
      </c>
      <c r="BU6">
        <f t="shared" si="10"/>
        <v>99999999</v>
      </c>
      <c r="BV6">
        <f t="shared" si="10"/>
        <v>99999999</v>
      </c>
      <c r="BW6">
        <f t="shared" si="10"/>
        <v>99999999</v>
      </c>
      <c r="BX6">
        <f t="shared" si="10"/>
        <v>99999999</v>
      </c>
      <c r="BY6">
        <f t="shared" si="10"/>
        <v>99999999</v>
      </c>
      <c r="BZ6">
        <f t="shared" si="10"/>
        <v>99999999</v>
      </c>
      <c r="CA6">
        <f t="shared" si="10"/>
        <v>99999999</v>
      </c>
      <c r="CB6">
        <f t="shared" si="11"/>
        <v>99999999</v>
      </c>
      <c r="CC6">
        <f t="shared" si="11"/>
        <v>99999999</v>
      </c>
      <c r="CD6">
        <f t="shared" si="11"/>
        <v>99999999</v>
      </c>
      <c r="CE6">
        <f t="shared" si="11"/>
        <v>99999999</v>
      </c>
      <c r="CF6">
        <f t="shared" si="11"/>
        <v>99999999</v>
      </c>
      <c r="CG6">
        <f t="shared" si="11"/>
        <v>99999999</v>
      </c>
      <c r="CH6">
        <f t="shared" si="11"/>
        <v>99999999</v>
      </c>
      <c r="CI6">
        <f t="shared" si="11"/>
        <v>99999999</v>
      </c>
      <c r="CJ6">
        <f t="shared" si="11"/>
        <v>99999999</v>
      </c>
      <c r="CK6">
        <f t="shared" si="11"/>
        <v>99999999</v>
      </c>
      <c r="CL6">
        <f t="shared" si="12"/>
        <v>99999999</v>
      </c>
      <c r="CM6">
        <f t="shared" si="12"/>
        <v>99999999</v>
      </c>
      <c r="CN6">
        <f t="shared" si="12"/>
        <v>99999999</v>
      </c>
      <c r="CO6">
        <f t="shared" si="12"/>
        <v>99999999</v>
      </c>
      <c r="CP6">
        <f t="shared" si="12"/>
        <v>99999999</v>
      </c>
      <c r="CQ6">
        <f t="shared" si="12"/>
        <v>99999999</v>
      </c>
      <c r="CR6">
        <f t="shared" si="12"/>
        <v>99999999</v>
      </c>
      <c r="CS6">
        <f t="shared" si="12"/>
        <v>99999999</v>
      </c>
      <c r="CT6">
        <f t="shared" si="12"/>
        <v>99999999</v>
      </c>
      <c r="CU6">
        <f t="shared" si="12"/>
        <v>99999999</v>
      </c>
      <c r="CV6">
        <f t="shared" si="13"/>
        <v>99999999</v>
      </c>
      <c r="CW6">
        <f t="shared" si="13"/>
        <v>99999999</v>
      </c>
      <c r="CX6">
        <f t="shared" si="13"/>
        <v>99999999</v>
      </c>
      <c r="CY6">
        <f t="shared" si="13"/>
        <v>99999999</v>
      </c>
      <c r="CZ6">
        <f t="shared" si="13"/>
        <v>99999999</v>
      </c>
      <c r="DA6">
        <f t="shared" si="13"/>
        <v>99999999</v>
      </c>
      <c r="DB6">
        <f t="shared" si="13"/>
        <v>99999999</v>
      </c>
      <c r="DC6">
        <f t="shared" si="13"/>
        <v>99999999</v>
      </c>
      <c r="DD6">
        <f t="shared" si="13"/>
        <v>99999999</v>
      </c>
      <c r="DE6">
        <f t="shared" si="13"/>
        <v>99999999</v>
      </c>
      <c r="DF6">
        <f t="shared" si="14"/>
        <v>99999999</v>
      </c>
      <c r="DG6">
        <f t="shared" si="14"/>
        <v>99999999</v>
      </c>
      <c r="DH6">
        <f t="shared" si="14"/>
        <v>99999999</v>
      </c>
      <c r="DI6">
        <f t="shared" si="14"/>
        <v>99999999</v>
      </c>
      <c r="DJ6">
        <f t="shared" si="14"/>
        <v>99999999</v>
      </c>
      <c r="DK6">
        <f t="shared" si="14"/>
        <v>99999999</v>
      </c>
      <c r="DL6">
        <f t="shared" si="14"/>
        <v>99999999</v>
      </c>
      <c r="DM6">
        <f t="shared" si="14"/>
        <v>99999999</v>
      </c>
      <c r="DN6">
        <f t="shared" si="14"/>
        <v>99999999</v>
      </c>
      <c r="DO6">
        <f t="shared" si="14"/>
        <v>99999999</v>
      </c>
      <c r="DP6">
        <f t="shared" si="15"/>
        <v>99999999</v>
      </c>
      <c r="DQ6">
        <f t="shared" si="15"/>
        <v>99999999</v>
      </c>
      <c r="DR6">
        <f t="shared" si="15"/>
        <v>99999999</v>
      </c>
      <c r="DS6">
        <f t="shared" si="15"/>
        <v>99999999</v>
      </c>
      <c r="DT6">
        <f t="shared" si="15"/>
        <v>99999999</v>
      </c>
      <c r="DU6">
        <f t="shared" si="15"/>
        <v>99999999</v>
      </c>
      <c r="DV6">
        <f t="shared" si="15"/>
        <v>99999999</v>
      </c>
      <c r="DW6">
        <f t="shared" si="15"/>
        <v>99999999</v>
      </c>
      <c r="DX6">
        <f t="shared" si="15"/>
        <v>99999999</v>
      </c>
      <c r="DY6">
        <f t="shared" si="15"/>
        <v>99999999</v>
      </c>
      <c r="DZ6">
        <f t="shared" si="16"/>
        <v>99999999</v>
      </c>
      <c r="EA6">
        <f t="shared" si="16"/>
        <v>99999999</v>
      </c>
      <c r="EB6">
        <f t="shared" si="16"/>
        <v>99999999</v>
      </c>
      <c r="EC6">
        <f t="shared" si="16"/>
        <v>99999999</v>
      </c>
      <c r="ED6">
        <f t="shared" si="16"/>
        <v>99999999</v>
      </c>
      <c r="EE6">
        <f t="shared" si="16"/>
        <v>99999999</v>
      </c>
      <c r="EF6">
        <f t="shared" si="16"/>
        <v>99999999</v>
      </c>
      <c r="EG6">
        <f t="shared" si="16"/>
        <v>99999999</v>
      </c>
      <c r="EH6">
        <f t="shared" si="16"/>
        <v>99999999</v>
      </c>
      <c r="EI6">
        <f t="shared" si="16"/>
        <v>99999999</v>
      </c>
      <c r="EJ6">
        <f t="shared" si="17"/>
        <v>99999999</v>
      </c>
      <c r="EK6">
        <f t="shared" si="17"/>
        <v>99999999</v>
      </c>
      <c r="EL6">
        <f t="shared" si="17"/>
        <v>99999999</v>
      </c>
      <c r="EM6">
        <f t="shared" si="17"/>
        <v>99999999</v>
      </c>
      <c r="EN6">
        <f t="shared" si="17"/>
        <v>99999999</v>
      </c>
      <c r="EO6">
        <f t="shared" si="17"/>
        <v>99999999</v>
      </c>
      <c r="EP6">
        <f t="shared" si="17"/>
        <v>99999999</v>
      </c>
      <c r="EQ6">
        <f t="shared" si="17"/>
        <v>99999999</v>
      </c>
      <c r="ER6">
        <f t="shared" si="17"/>
        <v>99999999</v>
      </c>
      <c r="ES6">
        <f t="shared" si="17"/>
        <v>99999999</v>
      </c>
      <c r="ET6">
        <f t="shared" si="18"/>
        <v>99999999</v>
      </c>
      <c r="EU6">
        <f t="shared" si="18"/>
        <v>99999999</v>
      </c>
      <c r="EV6">
        <f t="shared" si="18"/>
        <v>99999999</v>
      </c>
      <c r="EW6">
        <f t="shared" si="18"/>
        <v>99999999</v>
      </c>
      <c r="EX6">
        <f t="shared" si="18"/>
        <v>99999999</v>
      </c>
      <c r="EY6">
        <f t="shared" si="18"/>
        <v>99999999</v>
      </c>
      <c r="EZ6">
        <f t="shared" si="18"/>
        <v>99999999</v>
      </c>
      <c r="FA6">
        <f t="shared" si="18"/>
        <v>99999999</v>
      </c>
      <c r="FB6">
        <f t="shared" si="18"/>
        <v>99999999</v>
      </c>
      <c r="FC6">
        <f t="shared" si="18"/>
        <v>99999999</v>
      </c>
      <c r="FD6">
        <f t="shared" si="19"/>
        <v>99999999</v>
      </c>
      <c r="FE6">
        <f t="shared" si="19"/>
        <v>99999999</v>
      </c>
      <c r="FF6">
        <f t="shared" si="19"/>
        <v>99999999</v>
      </c>
      <c r="FG6">
        <f t="shared" si="19"/>
        <v>99999999</v>
      </c>
      <c r="FH6">
        <f t="shared" si="19"/>
        <v>99999999</v>
      </c>
      <c r="FI6">
        <f t="shared" si="19"/>
        <v>99999999</v>
      </c>
      <c r="FJ6">
        <f t="shared" si="19"/>
        <v>99999999</v>
      </c>
      <c r="FK6">
        <f t="shared" si="19"/>
        <v>99999999</v>
      </c>
      <c r="FL6">
        <f t="shared" si="19"/>
        <v>99999999</v>
      </c>
      <c r="FM6">
        <f t="shared" si="19"/>
        <v>99999999</v>
      </c>
      <c r="FN6">
        <f t="shared" si="20"/>
        <v>99999999</v>
      </c>
      <c r="FO6">
        <f t="shared" si="20"/>
        <v>99999999</v>
      </c>
      <c r="FP6">
        <f t="shared" si="20"/>
        <v>99999999</v>
      </c>
      <c r="FQ6">
        <f t="shared" si="20"/>
        <v>99999999</v>
      </c>
      <c r="FR6">
        <f t="shared" si="20"/>
        <v>99999999</v>
      </c>
      <c r="FS6">
        <f t="shared" si="20"/>
        <v>99999999</v>
      </c>
      <c r="FT6">
        <f t="shared" si="20"/>
        <v>99999999</v>
      </c>
      <c r="FU6">
        <f t="shared" si="20"/>
        <v>99999999</v>
      </c>
      <c r="FV6">
        <f t="shared" si="20"/>
        <v>99999999</v>
      </c>
      <c r="FW6">
        <f t="shared" si="20"/>
        <v>99999999</v>
      </c>
      <c r="FX6">
        <f t="shared" si="21"/>
        <v>99999999</v>
      </c>
      <c r="FY6">
        <f t="shared" si="21"/>
        <v>99999999</v>
      </c>
      <c r="FZ6">
        <f t="shared" si="21"/>
        <v>99999999</v>
      </c>
      <c r="GA6">
        <f t="shared" si="21"/>
        <v>99999999</v>
      </c>
      <c r="GB6">
        <f t="shared" si="21"/>
        <v>99999999</v>
      </c>
      <c r="GC6">
        <f t="shared" si="21"/>
        <v>99999999</v>
      </c>
      <c r="GD6">
        <f t="shared" si="21"/>
        <v>99999999</v>
      </c>
      <c r="GE6">
        <f t="shared" si="21"/>
        <v>99999999</v>
      </c>
      <c r="GF6">
        <f t="shared" si="21"/>
        <v>99999999</v>
      </c>
      <c r="GG6">
        <f t="shared" si="21"/>
        <v>99999999</v>
      </c>
      <c r="GH6">
        <f t="shared" si="22"/>
        <v>99999999</v>
      </c>
      <c r="GI6">
        <f t="shared" si="22"/>
        <v>99999999</v>
      </c>
      <c r="GJ6">
        <f t="shared" si="22"/>
        <v>99999999</v>
      </c>
      <c r="GK6">
        <f t="shared" si="22"/>
        <v>99999999</v>
      </c>
      <c r="GL6">
        <f t="shared" si="22"/>
        <v>99999999</v>
      </c>
      <c r="GM6">
        <f t="shared" si="22"/>
        <v>99999999</v>
      </c>
      <c r="GN6">
        <f t="shared" si="22"/>
        <v>99999999</v>
      </c>
      <c r="GO6">
        <f t="shared" si="22"/>
        <v>99999999</v>
      </c>
      <c r="GP6">
        <f t="shared" si="22"/>
        <v>99999999</v>
      </c>
      <c r="GQ6">
        <f t="shared" si="22"/>
        <v>99999999</v>
      </c>
      <c r="GR6">
        <f t="shared" si="23"/>
        <v>99999999</v>
      </c>
      <c r="GS6">
        <f t="shared" si="23"/>
        <v>99999999</v>
      </c>
      <c r="GT6">
        <f t="shared" si="23"/>
        <v>99999999</v>
      </c>
      <c r="GU6">
        <f t="shared" si="23"/>
        <v>99999999</v>
      </c>
      <c r="GV6">
        <f t="shared" si="23"/>
        <v>99999999</v>
      </c>
      <c r="GW6">
        <f t="shared" si="23"/>
        <v>99999999</v>
      </c>
      <c r="GX6">
        <f t="shared" si="23"/>
        <v>99999999</v>
      </c>
      <c r="GY6">
        <f t="shared" si="23"/>
        <v>99999999</v>
      </c>
      <c r="GZ6">
        <f t="shared" si="23"/>
        <v>99999999</v>
      </c>
      <c r="HA6">
        <f t="shared" si="23"/>
        <v>99999999</v>
      </c>
      <c r="HB6">
        <f t="shared" si="24"/>
        <v>99999999</v>
      </c>
      <c r="HC6">
        <f t="shared" si="24"/>
        <v>99999999</v>
      </c>
      <c r="HD6">
        <f t="shared" si="24"/>
        <v>99999999</v>
      </c>
      <c r="HE6">
        <f t="shared" si="24"/>
        <v>99999999</v>
      </c>
      <c r="HF6">
        <f t="shared" si="24"/>
        <v>99999999</v>
      </c>
      <c r="HG6">
        <f t="shared" si="24"/>
        <v>99999999</v>
      </c>
      <c r="HH6">
        <f t="shared" si="24"/>
        <v>99999999</v>
      </c>
      <c r="HI6">
        <f t="shared" si="24"/>
        <v>99999999</v>
      </c>
      <c r="HJ6">
        <f t="shared" si="24"/>
        <v>99999999</v>
      </c>
      <c r="HK6">
        <f t="shared" si="24"/>
        <v>99999999</v>
      </c>
      <c r="HL6">
        <f t="shared" si="25"/>
        <v>99999999</v>
      </c>
      <c r="HM6">
        <f t="shared" si="25"/>
        <v>99999999</v>
      </c>
      <c r="HN6">
        <f t="shared" si="25"/>
        <v>99999999</v>
      </c>
      <c r="HO6">
        <f t="shared" si="25"/>
        <v>99999999</v>
      </c>
      <c r="HP6">
        <f t="shared" si="25"/>
        <v>99999999</v>
      </c>
      <c r="HQ6">
        <f t="shared" si="25"/>
        <v>99999999</v>
      </c>
      <c r="HR6">
        <f t="shared" si="25"/>
        <v>99999999</v>
      </c>
      <c r="HS6">
        <f t="shared" si="25"/>
        <v>99999999</v>
      </c>
      <c r="HT6">
        <f t="shared" si="25"/>
        <v>99999999</v>
      </c>
      <c r="HU6">
        <f t="shared" si="25"/>
        <v>99999999</v>
      </c>
      <c r="HV6">
        <f t="shared" si="26"/>
        <v>99999999</v>
      </c>
      <c r="HW6">
        <f t="shared" si="26"/>
        <v>99999999</v>
      </c>
      <c r="HX6">
        <f t="shared" si="26"/>
        <v>99999999</v>
      </c>
      <c r="HY6">
        <f t="shared" si="26"/>
        <v>99999999</v>
      </c>
      <c r="HZ6">
        <f t="shared" si="26"/>
        <v>99999999</v>
      </c>
      <c r="IA6">
        <f t="shared" si="26"/>
        <v>99999999</v>
      </c>
      <c r="IB6">
        <f t="shared" si="26"/>
        <v>99999999</v>
      </c>
      <c r="IC6">
        <f t="shared" si="26"/>
        <v>99999999</v>
      </c>
      <c r="ID6">
        <f t="shared" si="26"/>
        <v>99999999</v>
      </c>
      <c r="IE6">
        <f t="shared" si="26"/>
        <v>99999999</v>
      </c>
      <c r="IF6">
        <f t="shared" si="27"/>
        <v>99999999</v>
      </c>
      <c r="IG6">
        <f t="shared" si="27"/>
        <v>99999999</v>
      </c>
      <c r="IH6">
        <f t="shared" si="27"/>
        <v>99999999</v>
      </c>
      <c r="II6">
        <f t="shared" si="27"/>
        <v>99999999</v>
      </c>
      <c r="IJ6">
        <f t="shared" si="27"/>
        <v>99999999</v>
      </c>
      <c r="IK6">
        <f t="shared" si="27"/>
        <v>99999999</v>
      </c>
      <c r="IL6">
        <f t="shared" si="27"/>
        <v>99999999</v>
      </c>
      <c r="IM6">
        <f t="shared" si="27"/>
        <v>99999999</v>
      </c>
      <c r="IN6">
        <f t="shared" si="27"/>
        <v>99999999</v>
      </c>
      <c r="IO6">
        <f t="shared" si="27"/>
        <v>99999999</v>
      </c>
      <c r="IP6">
        <f t="shared" si="28"/>
        <v>99999999</v>
      </c>
      <c r="IQ6">
        <f t="shared" si="28"/>
        <v>99999999</v>
      </c>
      <c r="IR6">
        <f t="shared" si="28"/>
        <v>99999999</v>
      </c>
      <c r="IS6">
        <f t="shared" si="28"/>
        <v>99999999</v>
      </c>
      <c r="IT6">
        <f t="shared" si="28"/>
        <v>99999999</v>
      </c>
      <c r="IU6">
        <f t="shared" si="28"/>
        <v>99999999</v>
      </c>
      <c r="IV6">
        <f t="shared" si="28"/>
        <v>99999999</v>
      </c>
      <c r="IW6">
        <f t="shared" si="28"/>
        <v>99999999</v>
      </c>
      <c r="IX6">
        <f t="shared" si="28"/>
        <v>99999999</v>
      </c>
      <c r="IY6">
        <f t="shared" si="28"/>
        <v>99999999</v>
      </c>
    </row>
    <row r="7" spans="1:259" x14ac:dyDescent="0.3">
      <c r="A7">
        <f>CAMBIOS!A7</f>
        <v>10</v>
      </c>
      <c r="B7">
        <f>IF(D7=1,CAMBIOS!P7*Valor_1+CAMBIOS!Q7*Valor_2+CAMBIOS!R7*Valor_3,IF(CAMBIOS!P7=1,Valor_1,Valor_2))</f>
        <v>7</v>
      </c>
      <c r="C7">
        <f>IF(D7=1,0,IF(CAMBIOS!R7=1,Valor_3,Valor_2))</f>
        <v>0</v>
      </c>
      <c r="D7">
        <f>CAMBIOS!P7+CAMBIOS!Q7+CAMBIOS!R7</f>
        <v>1</v>
      </c>
      <c r="E7">
        <f t="shared" si="0"/>
        <v>99999999</v>
      </c>
      <c r="F7">
        <f t="shared" si="1"/>
        <v>1</v>
      </c>
      <c r="G7">
        <f t="shared" si="2"/>
        <v>0</v>
      </c>
      <c r="H7">
        <f t="shared" si="3"/>
        <v>3</v>
      </c>
      <c r="J7">
        <f t="shared" si="4"/>
        <v>99999999</v>
      </c>
      <c r="K7">
        <f t="shared" si="4"/>
        <v>99999999</v>
      </c>
      <c r="L7">
        <f t="shared" si="4"/>
        <v>99999999</v>
      </c>
      <c r="M7">
        <f t="shared" si="4"/>
        <v>99999999</v>
      </c>
      <c r="N7">
        <f t="shared" si="4"/>
        <v>99999999</v>
      </c>
      <c r="O7">
        <f t="shared" si="4"/>
        <v>99999999</v>
      </c>
      <c r="P7">
        <f t="shared" si="4"/>
        <v>99999999</v>
      </c>
      <c r="Q7">
        <f t="shared" si="4"/>
        <v>99999999</v>
      </c>
      <c r="R7">
        <f t="shared" si="4"/>
        <v>99999999</v>
      </c>
      <c r="S7">
        <f t="shared" si="4"/>
        <v>99999999</v>
      </c>
      <c r="T7">
        <f t="shared" si="5"/>
        <v>99999999</v>
      </c>
      <c r="U7">
        <f t="shared" si="5"/>
        <v>99999999</v>
      </c>
      <c r="V7">
        <f t="shared" si="5"/>
        <v>99999999</v>
      </c>
      <c r="W7">
        <f t="shared" si="5"/>
        <v>99999999</v>
      </c>
      <c r="X7">
        <f t="shared" si="5"/>
        <v>99999999</v>
      </c>
      <c r="Y7">
        <f t="shared" si="5"/>
        <v>99999999</v>
      </c>
      <c r="Z7">
        <f t="shared" si="5"/>
        <v>99999999</v>
      </c>
      <c r="AA7">
        <f t="shared" si="5"/>
        <v>99999999</v>
      </c>
      <c r="AB7">
        <f t="shared" si="5"/>
        <v>99999999</v>
      </c>
      <c r="AC7">
        <f t="shared" si="5"/>
        <v>99999999</v>
      </c>
      <c r="AD7">
        <f t="shared" si="6"/>
        <v>99999999</v>
      </c>
      <c r="AE7">
        <f t="shared" si="6"/>
        <v>99999999</v>
      </c>
      <c r="AF7">
        <f t="shared" si="6"/>
        <v>99999999</v>
      </c>
      <c r="AG7">
        <f t="shared" si="6"/>
        <v>99999999</v>
      </c>
      <c r="AH7">
        <f t="shared" si="6"/>
        <v>99999999</v>
      </c>
      <c r="AI7">
        <f t="shared" si="6"/>
        <v>99999999</v>
      </c>
      <c r="AJ7">
        <f t="shared" si="6"/>
        <v>99999999</v>
      </c>
      <c r="AK7">
        <f t="shared" si="6"/>
        <v>99999999</v>
      </c>
      <c r="AL7">
        <f t="shared" si="6"/>
        <v>99999999</v>
      </c>
      <c r="AM7">
        <f t="shared" si="6"/>
        <v>99999999</v>
      </c>
      <c r="AN7">
        <f t="shared" si="7"/>
        <v>99999999</v>
      </c>
      <c r="AO7">
        <f t="shared" si="7"/>
        <v>99999999</v>
      </c>
      <c r="AP7">
        <f t="shared" si="7"/>
        <v>99999999</v>
      </c>
      <c r="AQ7">
        <f t="shared" si="7"/>
        <v>99999999</v>
      </c>
      <c r="AR7">
        <f t="shared" si="7"/>
        <v>99999999</v>
      </c>
      <c r="AS7">
        <f t="shared" si="7"/>
        <v>99999999</v>
      </c>
      <c r="AT7">
        <f t="shared" si="7"/>
        <v>99999999</v>
      </c>
      <c r="AU7">
        <f t="shared" si="7"/>
        <v>99999999</v>
      </c>
      <c r="AV7">
        <f t="shared" si="7"/>
        <v>99999999</v>
      </c>
      <c r="AW7">
        <f t="shared" si="7"/>
        <v>99999999</v>
      </c>
      <c r="AX7">
        <f t="shared" si="8"/>
        <v>99999999</v>
      </c>
      <c r="AY7">
        <f t="shared" si="8"/>
        <v>99999999</v>
      </c>
      <c r="AZ7">
        <f t="shared" si="8"/>
        <v>99999999</v>
      </c>
      <c r="BA7">
        <f t="shared" si="8"/>
        <v>99999999</v>
      </c>
      <c r="BB7">
        <f t="shared" si="8"/>
        <v>99999999</v>
      </c>
      <c r="BC7">
        <f t="shared" si="8"/>
        <v>99999999</v>
      </c>
      <c r="BD7">
        <f t="shared" si="8"/>
        <v>99999999</v>
      </c>
      <c r="BE7">
        <f t="shared" si="8"/>
        <v>99999999</v>
      </c>
      <c r="BF7">
        <f t="shared" si="8"/>
        <v>99999999</v>
      </c>
      <c r="BG7">
        <f t="shared" si="8"/>
        <v>99999999</v>
      </c>
      <c r="BH7">
        <f t="shared" si="9"/>
        <v>99999999</v>
      </c>
      <c r="BI7">
        <f t="shared" si="9"/>
        <v>99999999</v>
      </c>
      <c r="BJ7">
        <f t="shared" si="9"/>
        <v>99999999</v>
      </c>
      <c r="BK7">
        <f t="shared" si="9"/>
        <v>99999999</v>
      </c>
      <c r="BL7">
        <f t="shared" si="9"/>
        <v>99999999</v>
      </c>
      <c r="BM7">
        <f t="shared" si="9"/>
        <v>99999999</v>
      </c>
      <c r="BN7">
        <f t="shared" si="9"/>
        <v>99999999</v>
      </c>
      <c r="BO7">
        <f t="shared" si="9"/>
        <v>99999999</v>
      </c>
      <c r="BP7">
        <f t="shared" si="9"/>
        <v>99999999</v>
      </c>
      <c r="BQ7">
        <f t="shared" si="9"/>
        <v>99999999</v>
      </c>
      <c r="BR7">
        <f t="shared" si="10"/>
        <v>99999999</v>
      </c>
      <c r="BS7">
        <f t="shared" si="10"/>
        <v>99999999</v>
      </c>
      <c r="BT7">
        <f t="shared" si="10"/>
        <v>99999999</v>
      </c>
      <c r="BU7">
        <f t="shared" si="10"/>
        <v>99999999</v>
      </c>
      <c r="BV7">
        <f t="shared" si="10"/>
        <v>99999999</v>
      </c>
      <c r="BW7">
        <f t="shared" si="10"/>
        <v>99999999</v>
      </c>
      <c r="BX7">
        <f t="shared" si="10"/>
        <v>99999999</v>
      </c>
      <c r="BY7">
        <f t="shared" si="10"/>
        <v>99999999</v>
      </c>
      <c r="BZ7">
        <f t="shared" si="10"/>
        <v>99999999</v>
      </c>
      <c r="CA7">
        <f t="shared" si="10"/>
        <v>99999999</v>
      </c>
      <c r="CB7">
        <f t="shared" si="11"/>
        <v>99999999</v>
      </c>
      <c r="CC7">
        <f t="shared" si="11"/>
        <v>99999999</v>
      </c>
      <c r="CD7">
        <f t="shared" si="11"/>
        <v>99999999</v>
      </c>
      <c r="CE7">
        <f t="shared" si="11"/>
        <v>99999999</v>
      </c>
      <c r="CF7">
        <f t="shared" si="11"/>
        <v>99999999</v>
      </c>
      <c r="CG7">
        <f t="shared" si="11"/>
        <v>99999999</v>
      </c>
      <c r="CH7">
        <f t="shared" si="11"/>
        <v>99999999</v>
      </c>
      <c r="CI7">
        <f t="shared" si="11"/>
        <v>99999999</v>
      </c>
      <c r="CJ7">
        <f t="shared" si="11"/>
        <v>99999999</v>
      </c>
      <c r="CK7">
        <f t="shared" si="11"/>
        <v>99999999</v>
      </c>
      <c r="CL7">
        <f t="shared" si="12"/>
        <v>99999999</v>
      </c>
      <c r="CM7">
        <f t="shared" si="12"/>
        <v>99999999</v>
      </c>
      <c r="CN7">
        <f t="shared" si="12"/>
        <v>99999999</v>
      </c>
      <c r="CO7">
        <f t="shared" si="12"/>
        <v>99999999</v>
      </c>
      <c r="CP7">
        <f t="shared" si="12"/>
        <v>99999999</v>
      </c>
      <c r="CQ7">
        <f t="shared" si="12"/>
        <v>99999999</v>
      </c>
      <c r="CR7">
        <f t="shared" si="12"/>
        <v>99999999</v>
      </c>
      <c r="CS7">
        <f t="shared" si="12"/>
        <v>99999999</v>
      </c>
      <c r="CT7">
        <f t="shared" si="12"/>
        <v>99999999</v>
      </c>
      <c r="CU7">
        <f t="shared" si="12"/>
        <v>99999999</v>
      </c>
      <c r="CV7">
        <f t="shared" si="13"/>
        <v>99999999</v>
      </c>
      <c r="CW7">
        <f t="shared" si="13"/>
        <v>99999999</v>
      </c>
      <c r="CX7">
        <f t="shared" si="13"/>
        <v>99999999</v>
      </c>
      <c r="CY7">
        <f t="shared" si="13"/>
        <v>99999999</v>
      </c>
      <c r="CZ7">
        <f t="shared" si="13"/>
        <v>99999999</v>
      </c>
      <c r="DA7">
        <f t="shared" si="13"/>
        <v>99999999</v>
      </c>
      <c r="DB7">
        <f t="shared" si="13"/>
        <v>99999999</v>
      </c>
      <c r="DC7">
        <f t="shared" si="13"/>
        <v>99999999</v>
      </c>
      <c r="DD7">
        <f t="shared" si="13"/>
        <v>99999999</v>
      </c>
      <c r="DE7">
        <f t="shared" si="13"/>
        <v>99999999</v>
      </c>
      <c r="DF7">
        <f t="shared" si="14"/>
        <v>99999999</v>
      </c>
      <c r="DG7">
        <f t="shared" si="14"/>
        <v>99999999</v>
      </c>
      <c r="DH7">
        <f t="shared" si="14"/>
        <v>99999999</v>
      </c>
      <c r="DI7">
        <f t="shared" si="14"/>
        <v>99999999</v>
      </c>
      <c r="DJ7">
        <f t="shared" si="14"/>
        <v>99999999</v>
      </c>
      <c r="DK7">
        <f t="shared" si="14"/>
        <v>99999999</v>
      </c>
      <c r="DL7">
        <f t="shared" si="14"/>
        <v>99999999</v>
      </c>
      <c r="DM7">
        <f t="shared" si="14"/>
        <v>99999999</v>
      </c>
      <c r="DN7">
        <f t="shared" si="14"/>
        <v>99999999</v>
      </c>
      <c r="DO7">
        <f t="shared" si="14"/>
        <v>99999999</v>
      </c>
      <c r="DP7">
        <f t="shared" si="15"/>
        <v>99999999</v>
      </c>
      <c r="DQ7">
        <f t="shared" si="15"/>
        <v>99999999</v>
      </c>
      <c r="DR7">
        <f t="shared" si="15"/>
        <v>99999999</v>
      </c>
      <c r="DS7">
        <f t="shared" si="15"/>
        <v>99999999</v>
      </c>
      <c r="DT7">
        <f t="shared" si="15"/>
        <v>99999999</v>
      </c>
      <c r="DU7">
        <f t="shared" si="15"/>
        <v>99999999</v>
      </c>
      <c r="DV7">
        <f t="shared" si="15"/>
        <v>99999999</v>
      </c>
      <c r="DW7">
        <f t="shared" si="15"/>
        <v>99999999</v>
      </c>
      <c r="DX7">
        <f t="shared" si="15"/>
        <v>99999999</v>
      </c>
      <c r="DY7">
        <f t="shared" si="15"/>
        <v>99999999</v>
      </c>
      <c r="DZ7">
        <f t="shared" si="16"/>
        <v>99999999</v>
      </c>
      <c r="EA7">
        <f t="shared" si="16"/>
        <v>99999999</v>
      </c>
      <c r="EB7">
        <f t="shared" si="16"/>
        <v>99999999</v>
      </c>
      <c r="EC7">
        <f t="shared" si="16"/>
        <v>99999999</v>
      </c>
      <c r="ED7">
        <f t="shared" si="16"/>
        <v>99999999</v>
      </c>
      <c r="EE7">
        <f t="shared" si="16"/>
        <v>99999999</v>
      </c>
      <c r="EF7">
        <f t="shared" si="16"/>
        <v>99999999</v>
      </c>
      <c r="EG7">
        <f t="shared" si="16"/>
        <v>99999999</v>
      </c>
      <c r="EH7">
        <f t="shared" si="16"/>
        <v>99999999</v>
      </c>
      <c r="EI7">
        <f t="shared" si="16"/>
        <v>99999999</v>
      </c>
      <c r="EJ7">
        <f t="shared" si="17"/>
        <v>99999999</v>
      </c>
      <c r="EK7">
        <f t="shared" si="17"/>
        <v>99999999</v>
      </c>
      <c r="EL7">
        <f t="shared" si="17"/>
        <v>99999999</v>
      </c>
      <c r="EM7">
        <f t="shared" si="17"/>
        <v>99999999</v>
      </c>
      <c r="EN7">
        <f t="shared" si="17"/>
        <v>99999999</v>
      </c>
      <c r="EO7">
        <f t="shared" si="17"/>
        <v>99999999</v>
      </c>
      <c r="EP7">
        <f t="shared" si="17"/>
        <v>99999999</v>
      </c>
      <c r="EQ7">
        <f t="shared" si="17"/>
        <v>99999999</v>
      </c>
      <c r="ER7">
        <f t="shared" si="17"/>
        <v>99999999</v>
      </c>
      <c r="ES7">
        <f t="shared" si="17"/>
        <v>99999999</v>
      </c>
      <c r="ET7">
        <f t="shared" si="18"/>
        <v>99999999</v>
      </c>
      <c r="EU7">
        <f t="shared" si="18"/>
        <v>99999999</v>
      </c>
      <c r="EV7">
        <f t="shared" si="18"/>
        <v>99999999</v>
      </c>
      <c r="EW7">
        <f t="shared" si="18"/>
        <v>99999999</v>
      </c>
      <c r="EX7">
        <f t="shared" si="18"/>
        <v>99999999</v>
      </c>
      <c r="EY7">
        <f t="shared" si="18"/>
        <v>99999999</v>
      </c>
      <c r="EZ7">
        <f t="shared" si="18"/>
        <v>99999999</v>
      </c>
      <c r="FA7">
        <f t="shared" si="18"/>
        <v>99999999</v>
      </c>
      <c r="FB7">
        <f t="shared" si="18"/>
        <v>99999999</v>
      </c>
      <c r="FC7">
        <f t="shared" si="18"/>
        <v>99999999</v>
      </c>
      <c r="FD7">
        <f t="shared" si="19"/>
        <v>99999999</v>
      </c>
      <c r="FE7">
        <f t="shared" si="19"/>
        <v>99999999</v>
      </c>
      <c r="FF7">
        <f t="shared" si="19"/>
        <v>99999999</v>
      </c>
      <c r="FG7">
        <f t="shared" si="19"/>
        <v>99999999</v>
      </c>
      <c r="FH7">
        <f t="shared" si="19"/>
        <v>99999999</v>
      </c>
      <c r="FI7">
        <f t="shared" si="19"/>
        <v>99999999</v>
      </c>
      <c r="FJ7">
        <f t="shared" si="19"/>
        <v>99999999</v>
      </c>
      <c r="FK7">
        <f t="shared" si="19"/>
        <v>99999999</v>
      </c>
      <c r="FL7">
        <f t="shared" si="19"/>
        <v>99999999</v>
      </c>
      <c r="FM7">
        <f t="shared" si="19"/>
        <v>99999999</v>
      </c>
      <c r="FN7">
        <f t="shared" si="20"/>
        <v>99999999</v>
      </c>
      <c r="FO7">
        <f t="shared" si="20"/>
        <v>99999999</v>
      </c>
      <c r="FP7">
        <f t="shared" si="20"/>
        <v>99999999</v>
      </c>
      <c r="FQ7">
        <f t="shared" si="20"/>
        <v>99999999</v>
      </c>
      <c r="FR7">
        <f t="shared" si="20"/>
        <v>99999999</v>
      </c>
      <c r="FS7">
        <f t="shared" si="20"/>
        <v>99999999</v>
      </c>
      <c r="FT7">
        <f t="shared" si="20"/>
        <v>99999999</v>
      </c>
      <c r="FU7">
        <f t="shared" si="20"/>
        <v>99999999</v>
      </c>
      <c r="FV7">
        <f t="shared" si="20"/>
        <v>99999999</v>
      </c>
      <c r="FW7">
        <f t="shared" si="20"/>
        <v>99999999</v>
      </c>
      <c r="FX7">
        <f t="shared" si="21"/>
        <v>99999999</v>
      </c>
      <c r="FY7">
        <f t="shared" si="21"/>
        <v>99999999</v>
      </c>
      <c r="FZ7">
        <f t="shared" si="21"/>
        <v>99999999</v>
      </c>
      <c r="GA7">
        <f t="shared" si="21"/>
        <v>99999999</v>
      </c>
      <c r="GB7">
        <f t="shared" si="21"/>
        <v>99999999</v>
      </c>
      <c r="GC7">
        <f t="shared" si="21"/>
        <v>99999999</v>
      </c>
      <c r="GD7">
        <f t="shared" si="21"/>
        <v>99999999</v>
      </c>
      <c r="GE7">
        <f t="shared" si="21"/>
        <v>99999999</v>
      </c>
      <c r="GF7">
        <f t="shared" si="21"/>
        <v>99999999</v>
      </c>
      <c r="GG7">
        <f t="shared" si="21"/>
        <v>99999999</v>
      </c>
      <c r="GH7">
        <f t="shared" si="22"/>
        <v>99999999</v>
      </c>
      <c r="GI7">
        <f t="shared" si="22"/>
        <v>99999999</v>
      </c>
      <c r="GJ7">
        <f t="shared" si="22"/>
        <v>99999999</v>
      </c>
      <c r="GK7">
        <f t="shared" si="22"/>
        <v>99999999</v>
      </c>
      <c r="GL7">
        <f t="shared" si="22"/>
        <v>99999999</v>
      </c>
      <c r="GM7">
        <f t="shared" si="22"/>
        <v>99999999</v>
      </c>
      <c r="GN7">
        <f t="shared" si="22"/>
        <v>99999999</v>
      </c>
      <c r="GO7">
        <f t="shared" si="22"/>
        <v>99999999</v>
      </c>
      <c r="GP7">
        <f t="shared" si="22"/>
        <v>99999999</v>
      </c>
      <c r="GQ7">
        <f t="shared" si="22"/>
        <v>99999999</v>
      </c>
      <c r="GR7">
        <f t="shared" si="23"/>
        <v>99999999</v>
      </c>
      <c r="GS7">
        <f t="shared" si="23"/>
        <v>99999999</v>
      </c>
      <c r="GT7">
        <f t="shared" si="23"/>
        <v>99999999</v>
      </c>
      <c r="GU7">
        <f t="shared" si="23"/>
        <v>99999999</v>
      </c>
      <c r="GV7">
        <f t="shared" si="23"/>
        <v>99999999</v>
      </c>
      <c r="GW7">
        <f t="shared" si="23"/>
        <v>99999999</v>
      </c>
      <c r="GX7">
        <f t="shared" si="23"/>
        <v>99999999</v>
      </c>
      <c r="GY7">
        <f t="shared" si="23"/>
        <v>99999999</v>
      </c>
      <c r="GZ7">
        <f t="shared" si="23"/>
        <v>99999999</v>
      </c>
      <c r="HA7">
        <f t="shared" si="23"/>
        <v>99999999</v>
      </c>
      <c r="HB7">
        <f t="shared" si="24"/>
        <v>99999999</v>
      </c>
      <c r="HC7">
        <f t="shared" si="24"/>
        <v>99999999</v>
      </c>
      <c r="HD7">
        <f t="shared" si="24"/>
        <v>99999999</v>
      </c>
      <c r="HE7">
        <f t="shared" si="24"/>
        <v>99999999</v>
      </c>
      <c r="HF7">
        <f t="shared" si="24"/>
        <v>99999999</v>
      </c>
      <c r="HG7">
        <f t="shared" si="24"/>
        <v>99999999</v>
      </c>
      <c r="HH7">
        <f t="shared" si="24"/>
        <v>99999999</v>
      </c>
      <c r="HI7">
        <f t="shared" si="24"/>
        <v>99999999</v>
      </c>
      <c r="HJ7">
        <f t="shared" si="24"/>
        <v>99999999</v>
      </c>
      <c r="HK7">
        <f t="shared" si="24"/>
        <v>99999999</v>
      </c>
      <c r="HL7">
        <f t="shared" si="25"/>
        <v>99999999</v>
      </c>
      <c r="HM7">
        <f t="shared" si="25"/>
        <v>99999999</v>
      </c>
      <c r="HN7">
        <f t="shared" si="25"/>
        <v>99999999</v>
      </c>
      <c r="HO7">
        <f t="shared" si="25"/>
        <v>99999999</v>
      </c>
      <c r="HP7">
        <f t="shared" si="25"/>
        <v>99999999</v>
      </c>
      <c r="HQ7">
        <f t="shared" si="25"/>
        <v>99999999</v>
      </c>
      <c r="HR7">
        <f t="shared" si="25"/>
        <v>99999999</v>
      </c>
      <c r="HS7">
        <f t="shared" si="25"/>
        <v>99999999</v>
      </c>
      <c r="HT7">
        <f t="shared" si="25"/>
        <v>99999999</v>
      </c>
      <c r="HU7">
        <f t="shared" si="25"/>
        <v>99999999</v>
      </c>
      <c r="HV7">
        <f t="shared" si="26"/>
        <v>99999999</v>
      </c>
      <c r="HW7">
        <f t="shared" si="26"/>
        <v>99999999</v>
      </c>
      <c r="HX7">
        <f t="shared" si="26"/>
        <v>99999999</v>
      </c>
      <c r="HY7">
        <f t="shared" si="26"/>
        <v>99999999</v>
      </c>
      <c r="HZ7">
        <f t="shared" si="26"/>
        <v>99999999</v>
      </c>
      <c r="IA7">
        <f t="shared" si="26"/>
        <v>99999999</v>
      </c>
      <c r="IB7">
        <f t="shared" si="26"/>
        <v>99999999</v>
      </c>
      <c r="IC7">
        <f t="shared" si="26"/>
        <v>99999999</v>
      </c>
      <c r="ID7">
        <f t="shared" si="26"/>
        <v>99999999</v>
      </c>
      <c r="IE7">
        <f t="shared" si="26"/>
        <v>99999999</v>
      </c>
      <c r="IF7">
        <f t="shared" si="27"/>
        <v>99999999</v>
      </c>
      <c r="IG7">
        <f t="shared" si="27"/>
        <v>99999999</v>
      </c>
      <c r="IH7">
        <f t="shared" si="27"/>
        <v>99999999</v>
      </c>
      <c r="II7">
        <f t="shared" si="27"/>
        <v>99999999</v>
      </c>
      <c r="IJ7">
        <f t="shared" si="27"/>
        <v>99999999</v>
      </c>
      <c r="IK7">
        <f t="shared" si="27"/>
        <v>99999999</v>
      </c>
      <c r="IL7">
        <f t="shared" si="27"/>
        <v>99999999</v>
      </c>
      <c r="IM7">
        <f t="shared" si="27"/>
        <v>99999999</v>
      </c>
      <c r="IN7">
        <f t="shared" si="27"/>
        <v>99999999</v>
      </c>
      <c r="IO7">
        <f t="shared" si="27"/>
        <v>99999999</v>
      </c>
      <c r="IP7">
        <f t="shared" si="28"/>
        <v>99999999</v>
      </c>
      <c r="IQ7">
        <f t="shared" si="28"/>
        <v>99999999</v>
      </c>
      <c r="IR7">
        <f t="shared" si="28"/>
        <v>99999999</v>
      </c>
      <c r="IS7">
        <f t="shared" si="28"/>
        <v>99999999</v>
      </c>
      <c r="IT7">
        <f t="shared" si="28"/>
        <v>99999999</v>
      </c>
      <c r="IU7">
        <f t="shared" si="28"/>
        <v>99999999</v>
      </c>
      <c r="IV7">
        <f t="shared" si="28"/>
        <v>99999999</v>
      </c>
      <c r="IW7">
        <f t="shared" si="28"/>
        <v>99999999</v>
      </c>
      <c r="IX7">
        <f t="shared" si="28"/>
        <v>99999999</v>
      </c>
      <c r="IY7">
        <f t="shared" si="28"/>
        <v>99999999</v>
      </c>
    </row>
    <row r="8" spans="1:259" x14ac:dyDescent="0.3">
      <c r="A8">
        <f>CAMBIOS!A8</f>
        <v>10</v>
      </c>
      <c r="B8">
        <f>IF(D8=1,CAMBIOS!P8*Valor_1+CAMBIOS!Q8*Valor_2+CAMBIOS!R8*Valor_3,IF(CAMBIOS!P8=1,Valor_1,Valor_2))</f>
        <v>3</v>
      </c>
      <c r="C8">
        <f>IF(D8=1,0,IF(CAMBIOS!R8=1,Valor_3,Valor_2))</f>
        <v>5</v>
      </c>
      <c r="D8">
        <f>CAMBIOS!P8+CAMBIOS!Q8+CAMBIOS!R8</f>
        <v>2</v>
      </c>
      <c r="E8">
        <f t="shared" si="0"/>
        <v>209998</v>
      </c>
      <c r="F8">
        <f t="shared" si="1"/>
        <v>1</v>
      </c>
      <c r="G8">
        <f t="shared" si="2"/>
        <v>1</v>
      </c>
      <c r="H8">
        <f t="shared" si="3"/>
        <v>2</v>
      </c>
      <c r="J8">
        <f t="shared" si="4"/>
        <v>209998</v>
      </c>
      <c r="K8">
        <f t="shared" si="4"/>
        <v>99999999</v>
      </c>
      <c r="L8">
        <f t="shared" si="4"/>
        <v>99999999</v>
      </c>
      <c r="M8">
        <f t="shared" si="4"/>
        <v>99999999</v>
      </c>
      <c r="N8">
        <f t="shared" si="4"/>
        <v>99999999</v>
      </c>
      <c r="O8">
        <f t="shared" si="4"/>
        <v>99999999</v>
      </c>
      <c r="P8">
        <f t="shared" si="4"/>
        <v>99999999</v>
      </c>
      <c r="Q8">
        <f t="shared" si="4"/>
        <v>99999999</v>
      </c>
      <c r="R8">
        <f t="shared" si="4"/>
        <v>99999999</v>
      </c>
      <c r="S8">
        <f t="shared" si="4"/>
        <v>99999999</v>
      </c>
      <c r="T8">
        <f t="shared" si="5"/>
        <v>99999999</v>
      </c>
      <c r="U8">
        <f t="shared" si="5"/>
        <v>99999999</v>
      </c>
      <c r="V8">
        <f t="shared" si="5"/>
        <v>99999999</v>
      </c>
      <c r="W8">
        <f t="shared" si="5"/>
        <v>99999999</v>
      </c>
      <c r="X8">
        <f t="shared" si="5"/>
        <v>99999999</v>
      </c>
      <c r="Y8">
        <f t="shared" si="5"/>
        <v>99999999</v>
      </c>
      <c r="Z8">
        <f t="shared" si="5"/>
        <v>99999999</v>
      </c>
      <c r="AA8">
        <f t="shared" si="5"/>
        <v>99999999</v>
      </c>
      <c r="AB8">
        <f t="shared" si="5"/>
        <v>99999999</v>
      </c>
      <c r="AC8">
        <f t="shared" si="5"/>
        <v>99999999</v>
      </c>
      <c r="AD8">
        <f t="shared" si="6"/>
        <v>99999999</v>
      </c>
      <c r="AE8">
        <f t="shared" si="6"/>
        <v>99999999</v>
      </c>
      <c r="AF8">
        <f t="shared" si="6"/>
        <v>99999999</v>
      </c>
      <c r="AG8">
        <f t="shared" si="6"/>
        <v>99999999</v>
      </c>
      <c r="AH8">
        <f t="shared" si="6"/>
        <v>99999999</v>
      </c>
      <c r="AI8">
        <f t="shared" si="6"/>
        <v>99999999</v>
      </c>
      <c r="AJ8">
        <f t="shared" si="6"/>
        <v>99999999</v>
      </c>
      <c r="AK8">
        <f t="shared" si="6"/>
        <v>99999999</v>
      </c>
      <c r="AL8">
        <f t="shared" si="6"/>
        <v>99999999</v>
      </c>
      <c r="AM8">
        <f t="shared" si="6"/>
        <v>99999999</v>
      </c>
      <c r="AN8">
        <f t="shared" si="7"/>
        <v>99999999</v>
      </c>
      <c r="AO8">
        <f t="shared" si="7"/>
        <v>99999999</v>
      </c>
      <c r="AP8">
        <f t="shared" si="7"/>
        <v>99999999</v>
      </c>
      <c r="AQ8">
        <f t="shared" si="7"/>
        <v>99999999</v>
      </c>
      <c r="AR8">
        <f t="shared" si="7"/>
        <v>99999999</v>
      </c>
      <c r="AS8">
        <f t="shared" si="7"/>
        <v>99999999</v>
      </c>
      <c r="AT8">
        <f t="shared" si="7"/>
        <v>99999999</v>
      </c>
      <c r="AU8">
        <f t="shared" si="7"/>
        <v>99999999</v>
      </c>
      <c r="AV8">
        <f t="shared" si="7"/>
        <v>99999999</v>
      </c>
      <c r="AW8">
        <f t="shared" si="7"/>
        <v>99999999</v>
      </c>
      <c r="AX8">
        <f t="shared" si="8"/>
        <v>99999999</v>
      </c>
      <c r="AY8">
        <f t="shared" si="8"/>
        <v>99999999</v>
      </c>
      <c r="AZ8">
        <f t="shared" si="8"/>
        <v>99999999</v>
      </c>
      <c r="BA8">
        <f t="shared" si="8"/>
        <v>99999999</v>
      </c>
      <c r="BB8">
        <f t="shared" si="8"/>
        <v>99999999</v>
      </c>
      <c r="BC8">
        <f t="shared" si="8"/>
        <v>99999999</v>
      </c>
      <c r="BD8">
        <f t="shared" si="8"/>
        <v>99999999</v>
      </c>
      <c r="BE8">
        <f t="shared" si="8"/>
        <v>99999999</v>
      </c>
      <c r="BF8">
        <f t="shared" si="8"/>
        <v>99999999</v>
      </c>
      <c r="BG8">
        <f t="shared" si="8"/>
        <v>99999999</v>
      </c>
      <c r="BH8">
        <f t="shared" si="9"/>
        <v>99999999</v>
      </c>
      <c r="BI8">
        <f t="shared" si="9"/>
        <v>99999999</v>
      </c>
      <c r="BJ8">
        <f t="shared" si="9"/>
        <v>99999999</v>
      </c>
      <c r="BK8">
        <f t="shared" si="9"/>
        <v>99999999</v>
      </c>
      <c r="BL8">
        <f t="shared" si="9"/>
        <v>99999999</v>
      </c>
      <c r="BM8">
        <f t="shared" si="9"/>
        <v>99999999</v>
      </c>
      <c r="BN8">
        <f t="shared" si="9"/>
        <v>99999999</v>
      </c>
      <c r="BO8">
        <f t="shared" si="9"/>
        <v>99999999</v>
      </c>
      <c r="BP8">
        <f t="shared" si="9"/>
        <v>99999999</v>
      </c>
      <c r="BQ8">
        <f t="shared" si="9"/>
        <v>99999999</v>
      </c>
      <c r="BR8">
        <f t="shared" si="10"/>
        <v>99999999</v>
      </c>
      <c r="BS8">
        <f t="shared" si="10"/>
        <v>99999999</v>
      </c>
      <c r="BT8">
        <f t="shared" si="10"/>
        <v>99999999</v>
      </c>
      <c r="BU8">
        <f t="shared" si="10"/>
        <v>99999999</v>
      </c>
      <c r="BV8">
        <f t="shared" si="10"/>
        <v>99999999</v>
      </c>
      <c r="BW8">
        <f t="shared" si="10"/>
        <v>99999999</v>
      </c>
      <c r="BX8">
        <f t="shared" si="10"/>
        <v>99999999</v>
      </c>
      <c r="BY8">
        <f t="shared" si="10"/>
        <v>99999999</v>
      </c>
      <c r="BZ8">
        <f t="shared" si="10"/>
        <v>99999999</v>
      </c>
      <c r="CA8">
        <f t="shared" si="10"/>
        <v>99999999</v>
      </c>
      <c r="CB8">
        <f t="shared" si="11"/>
        <v>99999999</v>
      </c>
      <c r="CC8">
        <f t="shared" si="11"/>
        <v>99999999</v>
      </c>
      <c r="CD8">
        <f t="shared" si="11"/>
        <v>99999999</v>
      </c>
      <c r="CE8">
        <f t="shared" si="11"/>
        <v>99999999</v>
      </c>
      <c r="CF8">
        <f t="shared" si="11"/>
        <v>99999999</v>
      </c>
      <c r="CG8">
        <f t="shared" si="11"/>
        <v>99999999</v>
      </c>
      <c r="CH8">
        <f t="shared" si="11"/>
        <v>99999999</v>
      </c>
      <c r="CI8">
        <f t="shared" si="11"/>
        <v>99999999</v>
      </c>
      <c r="CJ8">
        <f t="shared" si="11"/>
        <v>99999999</v>
      </c>
      <c r="CK8">
        <f t="shared" si="11"/>
        <v>99999999</v>
      </c>
      <c r="CL8">
        <f t="shared" si="12"/>
        <v>99999999</v>
      </c>
      <c r="CM8">
        <f t="shared" si="12"/>
        <v>99999999</v>
      </c>
      <c r="CN8">
        <f t="shared" si="12"/>
        <v>99999999</v>
      </c>
      <c r="CO8">
        <f t="shared" si="12"/>
        <v>99999999</v>
      </c>
      <c r="CP8">
        <f t="shared" si="12"/>
        <v>99999999</v>
      </c>
      <c r="CQ8">
        <f t="shared" si="12"/>
        <v>99999999</v>
      </c>
      <c r="CR8">
        <f t="shared" si="12"/>
        <v>99999999</v>
      </c>
      <c r="CS8">
        <f t="shared" si="12"/>
        <v>99999999</v>
      </c>
      <c r="CT8">
        <f t="shared" si="12"/>
        <v>99999999</v>
      </c>
      <c r="CU8">
        <f t="shared" si="12"/>
        <v>99999999</v>
      </c>
      <c r="CV8">
        <f t="shared" si="13"/>
        <v>99999999</v>
      </c>
      <c r="CW8">
        <f t="shared" si="13"/>
        <v>99999999</v>
      </c>
      <c r="CX8">
        <f t="shared" si="13"/>
        <v>99999999</v>
      </c>
      <c r="CY8">
        <f t="shared" si="13"/>
        <v>99999999</v>
      </c>
      <c r="CZ8">
        <f t="shared" si="13"/>
        <v>99999999</v>
      </c>
      <c r="DA8">
        <f t="shared" si="13"/>
        <v>99999999</v>
      </c>
      <c r="DB8">
        <f t="shared" si="13"/>
        <v>99999999</v>
      </c>
      <c r="DC8">
        <f t="shared" si="13"/>
        <v>99999999</v>
      </c>
      <c r="DD8">
        <f t="shared" si="13"/>
        <v>99999999</v>
      </c>
      <c r="DE8">
        <f t="shared" si="13"/>
        <v>99999999</v>
      </c>
      <c r="DF8">
        <f t="shared" si="14"/>
        <v>99999999</v>
      </c>
      <c r="DG8">
        <f t="shared" si="14"/>
        <v>99999999</v>
      </c>
      <c r="DH8">
        <f t="shared" si="14"/>
        <v>99999999</v>
      </c>
      <c r="DI8">
        <f t="shared" si="14"/>
        <v>99999999</v>
      </c>
      <c r="DJ8">
        <f t="shared" si="14"/>
        <v>99999999</v>
      </c>
      <c r="DK8">
        <f t="shared" si="14"/>
        <v>99999999</v>
      </c>
      <c r="DL8">
        <f t="shared" si="14"/>
        <v>99999999</v>
      </c>
      <c r="DM8">
        <f t="shared" si="14"/>
        <v>99999999</v>
      </c>
      <c r="DN8">
        <f t="shared" si="14"/>
        <v>99999999</v>
      </c>
      <c r="DO8">
        <f t="shared" si="14"/>
        <v>99999999</v>
      </c>
      <c r="DP8">
        <f t="shared" si="15"/>
        <v>99999999</v>
      </c>
      <c r="DQ8">
        <f t="shared" si="15"/>
        <v>99999999</v>
      </c>
      <c r="DR8">
        <f t="shared" si="15"/>
        <v>99999999</v>
      </c>
      <c r="DS8">
        <f t="shared" si="15"/>
        <v>99999999</v>
      </c>
      <c r="DT8">
        <f t="shared" si="15"/>
        <v>99999999</v>
      </c>
      <c r="DU8">
        <f t="shared" si="15"/>
        <v>99999999</v>
      </c>
      <c r="DV8">
        <f t="shared" si="15"/>
        <v>99999999</v>
      </c>
      <c r="DW8">
        <f t="shared" si="15"/>
        <v>99999999</v>
      </c>
      <c r="DX8">
        <f t="shared" si="15"/>
        <v>99999999</v>
      </c>
      <c r="DY8">
        <f t="shared" si="15"/>
        <v>99999999</v>
      </c>
      <c r="DZ8">
        <f t="shared" si="16"/>
        <v>99999999</v>
      </c>
      <c r="EA8">
        <f t="shared" si="16"/>
        <v>99999999</v>
      </c>
      <c r="EB8">
        <f t="shared" si="16"/>
        <v>99999999</v>
      </c>
      <c r="EC8">
        <f t="shared" si="16"/>
        <v>99999999</v>
      </c>
      <c r="ED8">
        <f t="shared" si="16"/>
        <v>99999999</v>
      </c>
      <c r="EE8">
        <f t="shared" si="16"/>
        <v>99999999</v>
      </c>
      <c r="EF8">
        <f t="shared" si="16"/>
        <v>99999999</v>
      </c>
      <c r="EG8">
        <f t="shared" si="16"/>
        <v>99999999</v>
      </c>
      <c r="EH8">
        <f t="shared" si="16"/>
        <v>99999999</v>
      </c>
      <c r="EI8">
        <f t="shared" si="16"/>
        <v>99999999</v>
      </c>
      <c r="EJ8">
        <f t="shared" si="17"/>
        <v>99999999</v>
      </c>
      <c r="EK8">
        <f t="shared" si="17"/>
        <v>99999999</v>
      </c>
      <c r="EL8">
        <f t="shared" si="17"/>
        <v>99999999</v>
      </c>
      <c r="EM8">
        <f t="shared" si="17"/>
        <v>99999999</v>
      </c>
      <c r="EN8">
        <f t="shared" si="17"/>
        <v>99999999</v>
      </c>
      <c r="EO8">
        <f t="shared" si="17"/>
        <v>99999999</v>
      </c>
      <c r="EP8">
        <f t="shared" si="17"/>
        <v>99999999</v>
      </c>
      <c r="EQ8">
        <f t="shared" si="17"/>
        <v>99999999</v>
      </c>
      <c r="ER8">
        <f t="shared" si="17"/>
        <v>99999999</v>
      </c>
      <c r="ES8">
        <f t="shared" si="17"/>
        <v>99999999</v>
      </c>
      <c r="ET8">
        <f t="shared" si="18"/>
        <v>99999999</v>
      </c>
      <c r="EU8">
        <f t="shared" si="18"/>
        <v>99999999</v>
      </c>
      <c r="EV8">
        <f t="shared" si="18"/>
        <v>99999999</v>
      </c>
      <c r="EW8">
        <f t="shared" si="18"/>
        <v>99999999</v>
      </c>
      <c r="EX8">
        <f t="shared" si="18"/>
        <v>99999999</v>
      </c>
      <c r="EY8">
        <f t="shared" si="18"/>
        <v>99999999</v>
      </c>
      <c r="EZ8">
        <f t="shared" si="18"/>
        <v>99999999</v>
      </c>
      <c r="FA8">
        <f t="shared" si="18"/>
        <v>99999999</v>
      </c>
      <c r="FB8">
        <f t="shared" si="18"/>
        <v>99999999</v>
      </c>
      <c r="FC8">
        <f t="shared" si="18"/>
        <v>99999999</v>
      </c>
      <c r="FD8">
        <f t="shared" si="19"/>
        <v>99999999</v>
      </c>
      <c r="FE8">
        <f t="shared" si="19"/>
        <v>99999999</v>
      </c>
      <c r="FF8">
        <f t="shared" si="19"/>
        <v>99999999</v>
      </c>
      <c r="FG8">
        <f t="shared" si="19"/>
        <v>99999999</v>
      </c>
      <c r="FH8">
        <f t="shared" si="19"/>
        <v>99999999</v>
      </c>
      <c r="FI8">
        <f t="shared" si="19"/>
        <v>99999999</v>
      </c>
      <c r="FJ8">
        <f t="shared" si="19"/>
        <v>99999999</v>
      </c>
      <c r="FK8">
        <f t="shared" si="19"/>
        <v>99999999</v>
      </c>
      <c r="FL8">
        <f t="shared" si="19"/>
        <v>99999999</v>
      </c>
      <c r="FM8">
        <f t="shared" si="19"/>
        <v>99999999</v>
      </c>
      <c r="FN8">
        <f t="shared" si="20"/>
        <v>99999999</v>
      </c>
      <c r="FO8">
        <f t="shared" si="20"/>
        <v>99999999</v>
      </c>
      <c r="FP8">
        <f t="shared" si="20"/>
        <v>99999999</v>
      </c>
      <c r="FQ8">
        <f t="shared" si="20"/>
        <v>99999999</v>
      </c>
      <c r="FR8">
        <f t="shared" si="20"/>
        <v>99999999</v>
      </c>
      <c r="FS8">
        <f t="shared" si="20"/>
        <v>99999999</v>
      </c>
      <c r="FT8">
        <f t="shared" si="20"/>
        <v>99999999</v>
      </c>
      <c r="FU8">
        <f t="shared" si="20"/>
        <v>99999999</v>
      </c>
      <c r="FV8">
        <f t="shared" si="20"/>
        <v>99999999</v>
      </c>
      <c r="FW8">
        <f t="shared" si="20"/>
        <v>99999999</v>
      </c>
      <c r="FX8">
        <f t="shared" si="21"/>
        <v>99999999</v>
      </c>
      <c r="FY8">
        <f t="shared" si="21"/>
        <v>99999999</v>
      </c>
      <c r="FZ8">
        <f t="shared" si="21"/>
        <v>99999999</v>
      </c>
      <c r="GA8">
        <f t="shared" si="21"/>
        <v>99999999</v>
      </c>
      <c r="GB8">
        <f t="shared" si="21"/>
        <v>99999999</v>
      </c>
      <c r="GC8">
        <f t="shared" si="21"/>
        <v>99999999</v>
      </c>
      <c r="GD8">
        <f t="shared" si="21"/>
        <v>99999999</v>
      </c>
      <c r="GE8">
        <f t="shared" si="21"/>
        <v>99999999</v>
      </c>
      <c r="GF8">
        <f t="shared" si="21"/>
        <v>99999999</v>
      </c>
      <c r="GG8">
        <f t="shared" si="21"/>
        <v>99999999</v>
      </c>
      <c r="GH8">
        <f t="shared" si="22"/>
        <v>99999999</v>
      </c>
      <c r="GI8">
        <f t="shared" si="22"/>
        <v>99999999</v>
      </c>
      <c r="GJ8">
        <f t="shared" si="22"/>
        <v>99999999</v>
      </c>
      <c r="GK8">
        <f t="shared" si="22"/>
        <v>99999999</v>
      </c>
      <c r="GL8">
        <f t="shared" si="22"/>
        <v>99999999</v>
      </c>
      <c r="GM8">
        <f t="shared" si="22"/>
        <v>99999999</v>
      </c>
      <c r="GN8">
        <f t="shared" si="22"/>
        <v>99999999</v>
      </c>
      <c r="GO8">
        <f t="shared" si="22"/>
        <v>99999999</v>
      </c>
      <c r="GP8">
        <f t="shared" si="22"/>
        <v>99999999</v>
      </c>
      <c r="GQ8">
        <f t="shared" si="22"/>
        <v>99999999</v>
      </c>
      <c r="GR8">
        <f t="shared" si="23"/>
        <v>99999999</v>
      </c>
      <c r="GS8">
        <f t="shared" si="23"/>
        <v>99999999</v>
      </c>
      <c r="GT8">
        <f t="shared" si="23"/>
        <v>99999999</v>
      </c>
      <c r="GU8">
        <f t="shared" si="23"/>
        <v>99999999</v>
      </c>
      <c r="GV8">
        <f t="shared" si="23"/>
        <v>99999999</v>
      </c>
      <c r="GW8">
        <f t="shared" si="23"/>
        <v>99999999</v>
      </c>
      <c r="GX8">
        <f t="shared" si="23"/>
        <v>99999999</v>
      </c>
      <c r="GY8">
        <f t="shared" si="23"/>
        <v>99999999</v>
      </c>
      <c r="GZ8">
        <f t="shared" si="23"/>
        <v>99999999</v>
      </c>
      <c r="HA8">
        <f t="shared" si="23"/>
        <v>99999999</v>
      </c>
      <c r="HB8">
        <f t="shared" si="24"/>
        <v>99999999</v>
      </c>
      <c r="HC8">
        <f t="shared" si="24"/>
        <v>99999999</v>
      </c>
      <c r="HD8">
        <f t="shared" si="24"/>
        <v>99999999</v>
      </c>
      <c r="HE8">
        <f t="shared" si="24"/>
        <v>99999999</v>
      </c>
      <c r="HF8">
        <f t="shared" si="24"/>
        <v>99999999</v>
      </c>
      <c r="HG8">
        <f t="shared" si="24"/>
        <v>99999999</v>
      </c>
      <c r="HH8">
        <f t="shared" si="24"/>
        <v>99999999</v>
      </c>
      <c r="HI8">
        <f t="shared" si="24"/>
        <v>99999999</v>
      </c>
      <c r="HJ8">
        <f t="shared" si="24"/>
        <v>99999999</v>
      </c>
      <c r="HK8">
        <f t="shared" si="24"/>
        <v>99999999</v>
      </c>
      <c r="HL8">
        <f t="shared" si="25"/>
        <v>99999999</v>
      </c>
      <c r="HM8">
        <f t="shared" si="25"/>
        <v>99999999</v>
      </c>
      <c r="HN8">
        <f t="shared" si="25"/>
        <v>99999999</v>
      </c>
      <c r="HO8">
        <f t="shared" si="25"/>
        <v>99999999</v>
      </c>
      <c r="HP8">
        <f t="shared" si="25"/>
        <v>99999999</v>
      </c>
      <c r="HQ8">
        <f t="shared" si="25"/>
        <v>99999999</v>
      </c>
      <c r="HR8">
        <f t="shared" si="25"/>
        <v>99999999</v>
      </c>
      <c r="HS8">
        <f t="shared" si="25"/>
        <v>99999999</v>
      </c>
      <c r="HT8">
        <f t="shared" si="25"/>
        <v>99999999</v>
      </c>
      <c r="HU8">
        <f t="shared" si="25"/>
        <v>99999999</v>
      </c>
      <c r="HV8">
        <f t="shared" si="26"/>
        <v>99999999</v>
      </c>
      <c r="HW8">
        <f t="shared" si="26"/>
        <v>99999999</v>
      </c>
      <c r="HX8">
        <f t="shared" si="26"/>
        <v>99999999</v>
      </c>
      <c r="HY8">
        <f t="shared" si="26"/>
        <v>99999999</v>
      </c>
      <c r="HZ8">
        <f t="shared" si="26"/>
        <v>99999999</v>
      </c>
      <c r="IA8">
        <f t="shared" si="26"/>
        <v>99999999</v>
      </c>
      <c r="IB8">
        <f t="shared" si="26"/>
        <v>99999999</v>
      </c>
      <c r="IC8">
        <f t="shared" si="26"/>
        <v>99999999</v>
      </c>
      <c r="ID8">
        <f t="shared" si="26"/>
        <v>99999999</v>
      </c>
      <c r="IE8">
        <f t="shared" si="26"/>
        <v>99999999</v>
      </c>
      <c r="IF8">
        <f t="shared" si="27"/>
        <v>99999999</v>
      </c>
      <c r="IG8">
        <f t="shared" si="27"/>
        <v>99999999</v>
      </c>
      <c r="IH8">
        <f t="shared" si="27"/>
        <v>99999999</v>
      </c>
      <c r="II8">
        <f t="shared" si="27"/>
        <v>99999999</v>
      </c>
      <c r="IJ8">
        <f t="shared" si="27"/>
        <v>99999999</v>
      </c>
      <c r="IK8">
        <f t="shared" si="27"/>
        <v>99999999</v>
      </c>
      <c r="IL8">
        <f t="shared" si="27"/>
        <v>99999999</v>
      </c>
      <c r="IM8">
        <f t="shared" si="27"/>
        <v>99999999</v>
      </c>
      <c r="IN8">
        <f t="shared" si="27"/>
        <v>99999999</v>
      </c>
      <c r="IO8">
        <f t="shared" si="27"/>
        <v>99999999</v>
      </c>
      <c r="IP8">
        <f t="shared" si="28"/>
        <v>99999999</v>
      </c>
      <c r="IQ8">
        <f t="shared" si="28"/>
        <v>99999999</v>
      </c>
      <c r="IR8">
        <f t="shared" si="28"/>
        <v>99999999</v>
      </c>
      <c r="IS8">
        <f t="shared" si="28"/>
        <v>99999999</v>
      </c>
      <c r="IT8">
        <f t="shared" si="28"/>
        <v>99999999</v>
      </c>
      <c r="IU8">
        <f t="shared" si="28"/>
        <v>99999999</v>
      </c>
      <c r="IV8">
        <f t="shared" si="28"/>
        <v>99999999</v>
      </c>
      <c r="IW8">
        <f t="shared" si="28"/>
        <v>99999999</v>
      </c>
      <c r="IX8">
        <f t="shared" si="28"/>
        <v>99999999</v>
      </c>
      <c r="IY8">
        <f t="shared" si="28"/>
        <v>99999999</v>
      </c>
    </row>
    <row r="9" spans="1:259" x14ac:dyDescent="0.3">
      <c r="A9">
        <f>CAMBIOS!A9</f>
        <v>10</v>
      </c>
      <c r="B9">
        <f>IF(D9=1,CAMBIOS!P9*Valor_1+CAMBIOS!Q9*Valor_2+CAMBIOS!R9*Valor_3,IF(CAMBIOS!P9=1,Valor_1,Valor_2))</f>
        <v>3</v>
      </c>
      <c r="C9">
        <f>IF(D9=1,0,IF(CAMBIOS!R9=1,Valor_3,Valor_2))</f>
        <v>7</v>
      </c>
      <c r="D9">
        <f>CAMBIOS!P9+CAMBIOS!Q9+CAMBIOS!R9</f>
        <v>2</v>
      </c>
      <c r="E9">
        <f t="shared" si="0"/>
        <v>9998</v>
      </c>
      <c r="F9">
        <f t="shared" si="1"/>
        <v>1</v>
      </c>
      <c r="G9">
        <f t="shared" si="2"/>
        <v>1</v>
      </c>
      <c r="H9">
        <f t="shared" si="3"/>
        <v>0</v>
      </c>
      <c r="J9">
        <f t="shared" si="4"/>
        <v>9998</v>
      </c>
      <c r="K9">
        <f t="shared" si="4"/>
        <v>99999999</v>
      </c>
      <c r="L9">
        <f t="shared" si="4"/>
        <v>99999999</v>
      </c>
      <c r="M9">
        <f t="shared" si="4"/>
        <v>99999999</v>
      </c>
      <c r="N9">
        <f t="shared" si="4"/>
        <v>99999999</v>
      </c>
      <c r="O9">
        <f t="shared" si="4"/>
        <v>99999999</v>
      </c>
      <c r="P9">
        <f t="shared" si="4"/>
        <v>99999999</v>
      </c>
      <c r="Q9">
        <f t="shared" si="4"/>
        <v>99999999</v>
      </c>
      <c r="R9">
        <f t="shared" si="4"/>
        <v>99999999</v>
      </c>
      <c r="S9">
        <f t="shared" si="4"/>
        <v>99999999</v>
      </c>
      <c r="T9">
        <f t="shared" si="5"/>
        <v>99999999</v>
      </c>
      <c r="U9">
        <f t="shared" si="5"/>
        <v>99999999</v>
      </c>
      <c r="V9">
        <f t="shared" si="5"/>
        <v>99999999</v>
      </c>
      <c r="W9">
        <f t="shared" si="5"/>
        <v>99999999</v>
      </c>
      <c r="X9">
        <f t="shared" si="5"/>
        <v>99999999</v>
      </c>
      <c r="Y9">
        <f t="shared" si="5"/>
        <v>99999999</v>
      </c>
      <c r="Z9">
        <f t="shared" si="5"/>
        <v>99999999</v>
      </c>
      <c r="AA9">
        <f t="shared" si="5"/>
        <v>99999999</v>
      </c>
      <c r="AB9">
        <f t="shared" si="5"/>
        <v>99999999</v>
      </c>
      <c r="AC9">
        <f t="shared" si="5"/>
        <v>99999999</v>
      </c>
      <c r="AD9">
        <f t="shared" si="6"/>
        <v>99999999</v>
      </c>
      <c r="AE9">
        <f t="shared" si="6"/>
        <v>99999999</v>
      </c>
      <c r="AF9">
        <f t="shared" si="6"/>
        <v>99999999</v>
      </c>
      <c r="AG9">
        <f t="shared" si="6"/>
        <v>99999999</v>
      </c>
      <c r="AH9">
        <f t="shared" si="6"/>
        <v>99999999</v>
      </c>
      <c r="AI9">
        <f t="shared" si="6"/>
        <v>99999999</v>
      </c>
      <c r="AJ9">
        <f t="shared" si="6"/>
        <v>99999999</v>
      </c>
      <c r="AK9">
        <f t="shared" si="6"/>
        <v>99999999</v>
      </c>
      <c r="AL9">
        <f t="shared" si="6"/>
        <v>99999999</v>
      </c>
      <c r="AM9">
        <f t="shared" si="6"/>
        <v>99999999</v>
      </c>
      <c r="AN9">
        <f t="shared" si="7"/>
        <v>99999999</v>
      </c>
      <c r="AO9">
        <f t="shared" si="7"/>
        <v>99999999</v>
      </c>
      <c r="AP9">
        <f t="shared" si="7"/>
        <v>99999999</v>
      </c>
      <c r="AQ9">
        <f t="shared" si="7"/>
        <v>99999999</v>
      </c>
      <c r="AR9">
        <f t="shared" si="7"/>
        <v>99999999</v>
      </c>
      <c r="AS9">
        <f t="shared" si="7"/>
        <v>99999999</v>
      </c>
      <c r="AT9">
        <f t="shared" si="7"/>
        <v>99999999</v>
      </c>
      <c r="AU9">
        <f t="shared" si="7"/>
        <v>99999999</v>
      </c>
      <c r="AV9">
        <f t="shared" si="7"/>
        <v>99999999</v>
      </c>
      <c r="AW9">
        <f t="shared" si="7"/>
        <v>99999999</v>
      </c>
      <c r="AX9">
        <f t="shared" si="8"/>
        <v>99999999</v>
      </c>
      <c r="AY9">
        <f t="shared" si="8"/>
        <v>99999999</v>
      </c>
      <c r="AZ9">
        <f t="shared" si="8"/>
        <v>99999999</v>
      </c>
      <c r="BA9">
        <f t="shared" si="8"/>
        <v>99999999</v>
      </c>
      <c r="BB9">
        <f t="shared" si="8"/>
        <v>99999999</v>
      </c>
      <c r="BC9">
        <f t="shared" si="8"/>
        <v>99999999</v>
      </c>
      <c r="BD9">
        <f t="shared" si="8"/>
        <v>99999999</v>
      </c>
      <c r="BE9">
        <f t="shared" si="8"/>
        <v>99999999</v>
      </c>
      <c r="BF9">
        <f t="shared" si="8"/>
        <v>99999999</v>
      </c>
      <c r="BG9">
        <f t="shared" si="8"/>
        <v>99999999</v>
      </c>
      <c r="BH9">
        <f t="shared" si="9"/>
        <v>99999999</v>
      </c>
      <c r="BI9">
        <f t="shared" si="9"/>
        <v>99999999</v>
      </c>
      <c r="BJ9">
        <f t="shared" si="9"/>
        <v>99999999</v>
      </c>
      <c r="BK9">
        <f t="shared" si="9"/>
        <v>99999999</v>
      </c>
      <c r="BL9">
        <f t="shared" si="9"/>
        <v>99999999</v>
      </c>
      <c r="BM9">
        <f t="shared" si="9"/>
        <v>99999999</v>
      </c>
      <c r="BN9">
        <f t="shared" si="9"/>
        <v>99999999</v>
      </c>
      <c r="BO9">
        <f t="shared" si="9"/>
        <v>99999999</v>
      </c>
      <c r="BP9">
        <f t="shared" si="9"/>
        <v>99999999</v>
      </c>
      <c r="BQ9">
        <f t="shared" si="9"/>
        <v>99999999</v>
      </c>
      <c r="BR9">
        <f t="shared" si="10"/>
        <v>99999999</v>
      </c>
      <c r="BS9">
        <f t="shared" si="10"/>
        <v>99999999</v>
      </c>
      <c r="BT9">
        <f t="shared" si="10"/>
        <v>99999999</v>
      </c>
      <c r="BU9">
        <f t="shared" si="10"/>
        <v>99999999</v>
      </c>
      <c r="BV9">
        <f t="shared" si="10"/>
        <v>99999999</v>
      </c>
      <c r="BW9">
        <f t="shared" si="10"/>
        <v>99999999</v>
      </c>
      <c r="BX9">
        <f t="shared" si="10"/>
        <v>99999999</v>
      </c>
      <c r="BY9">
        <f t="shared" si="10"/>
        <v>99999999</v>
      </c>
      <c r="BZ9">
        <f t="shared" si="10"/>
        <v>99999999</v>
      </c>
      <c r="CA9">
        <f t="shared" si="10"/>
        <v>99999999</v>
      </c>
      <c r="CB9">
        <f t="shared" si="11"/>
        <v>99999999</v>
      </c>
      <c r="CC9">
        <f t="shared" si="11"/>
        <v>99999999</v>
      </c>
      <c r="CD9">
        <f t="shared" si="11"/>
        <v>99999999</v>
      </c>
      <c r="CE9">
        <f t="shared" si="11"/>
        <v>99999999</v>
      </c>
      <c r="CF9">
        <f t="shared" si="11"/>
        <v>99999999</v>
      </c>
      <c r="CG9">
        <f t="shared" si="11"/>
        <v>99999999</v>
      </c>
      <c r="CH9">
        <f t="shared" si="11"/>
        <v>99999999</v>
      </c>
      <c r="CI9">
        <f t="shared" si="11"/>
        <v>99999999</v>
      </c>
      <c r="CJ9">
        <f t="shared" si="11"/>
        <v>99999999</v>
      </c>
      <c r="CK9">
        <f t="shared" si="11"/>
        <v>99999999</v>
      </c>
      <c r="CL9">
        <f t="shared" si="12"/>
        <v>99999999</v>
      </c>
      <c r="CM9">
        <f t="shared" si="12"/>
        <v>99999999</v>
      </c>
      <c r="CN9">
        <f t="shared" si="12"/>
        <v>99999999</v>
      </c>
      <c r="CO9">
        <f t="shared" si="12"/>
        <v>99999999</v>
      </c>
      <c r="CP9">
        <f t="shared" si="12"/>
        <v>99999999</v>
      </c>
      <c r="CQ9">
        <f t="shared" si="12"/>
        <v>99999999</v>
      </c>
      <c r="CR9">
        <f t="shared" si="12"/>
        <v>99999999</v>
      </c>
      <c r="CS9">
        <f t="shared" si="12"/>
        <v>99999999</v>
      </c>
      <c r="CT9">
        <f t="shared" si="12"/>
        <v>99999999</v>
      </c>
      <c r="CU9">
        <f t="shared" si="12"/>
        <v>99999999</v>
      </c>
      <c r="CV9">
        <f t="shared" si="13"/>
        <v>99999999</v>
      </c>
      <c r="CW9">
        <f t="shared" si="13"/>
        <v>99999999</v>
      </c>
      <c r="CX9">
        <f t="shared" si="13"/>
        <v>99999999</v>
      </c>
      <c r="CY9">
        <f t="shared" si="13"/>
        <v>99999999</v>
      </c>
      <c r="CZ9">
        <f t="shared" si="13"/>
        <v>99999999</v>
      </c>
      <c r="DA9">
        <f t="shared" si="13"/>
        <v>99999999</v>
      </c>
      <c r="DB9">
        <f t="shared" si="13"/>
        <v>99999999</v>
      </c>
      <c r="DC9">
        <f t="shared" si="13"/>
        <v>99999999</v>
      </c>
      <c r="DD9">
        <f t="shared" si="13"/>
        <v>99999999</v>
      </c>
      <c r="DE9">
        <f t="shared" si="13"/>
        <v>99999999</v>
      </c>
      <c r="DF9">
        <f t="shared" si="14"/>
        <v>99999999</v>
      </c>
      <c r="DG9">
        <f t="shared" si="14"/>
        <v>99999999</v>
      </c>
      <c r="DH9">
        <f t="shared" si="14"/>
        <v>99999999</v>
      </c>
      <c r="DI9">
        <f t="shared" si="14"/>
        <v>99999999</v>
      </c>
      <c r="DJ9">
        <f t="shared" si="14"/>
        <v>99999999</v>
      </c>
      <c r="DK9">
        <f t="shared" si="14"/>
        <v>99999999</v>
      </c>
      <c r="DL9">
        <f t="shared" si="14"/>
        <v>99999999</v>
      </c>
      <c r="DM9">
        <f t="shared" si="14"/>
        <v>99999999</v>
      </c>
      <c r="DN9">
        <f t="shared" si="14"/>
        <v>99999999</v>
      </c>
      <c r="DO9">
        <f t="shared" si="14"/>
        <v>99999999</v>
      </c>
      <c r="DP9">
        <f t="shared" si="15"/>
        <v>99999999</v>
      </c>
      <c r="DQ9">
        <f t="shared" si="15"/>
        <v>99999999</v>
      </c>
      <c r="DR9">
        <f t="shared" si="15"/>
        <v>99999999</v>
      </c>
      <c r="DS9">
        <f t="shared" si="15"/>
        <v>99999999</v>
      </c>
      <c r="DT9">
        <f t="shared" si="15"/>
        <v>99999999</v>
      </c>
      <c r="DU9">
        <f t="shared" si="15"/>
        <v>99999999</v>
      </c>
      <c r="DV9">
        <f t="shared" si="15"/>
        <v>99999999</v>
      </c>
      <c r="DW9">
        <f t="shared" si="15"/>
        <v>99999999</v>
      </c>
      <c r="DX9">
        <f t="shared" si="15"/>
        <v>99999999</v>
      </c>
      <c r="DY9">
        <f t="shared" si="15"/>
        <v>99999999</v>
      </c>
      <c r="DZ9">
        <f t="shared" si="16"/>
        <v>99999999</v>
      </c>
      <c r="EA9">
        <f t="shared" si="16"/>
        <v>99999999</v>
      </c>
      <c r="EB9">
        <f t="shared" si="16"/>
        <v>99999999</v>
      </c>
      <c r="EC9">
        <f t="shared" si="16"/>
        <v>99999999</v>
      </c>
      <c r="ED9">
        <f t="shared" si="16"/>
        <v>99999999</v>
      </c>
      <c r="EE9">
        <f t="shared" si="16"/>
        <v>99999999</v>
      </c>
      <c r="EF9">
        <f t="shared" si="16"/>
        <v>99999999</v>
      </c>
      <c r="EG9">
        <f t="shared" si="16"/>
        <v>99999999</v>
      </c>
      <c r="EH9">
        <f t="shared" si="16"/>
        <v>99999999</v>
      </c>
      <c r="EI9">
        <f t="shared" si="16"/>
        <v>99999999</v>
      </c>
      <c r="EJ9">
        <f t="shared" si="17"/>
        <v>99999999</v>
      </c>
      <c r="EK9">
        <f t="shared" si="17"/>
        <v>99999999</v>
      </c>
      <c r="EL9">
        <f t="shared" si="17"/>
        <v>99999999</v>
      </c>
      <c r="EM9">
        <f t="shared" si="17"/>
        <v>99999999</v>
      </c>
      <c r="EN9">
        <f t="shared" si="17"/>
        <v>99999999</v>
      </c>
      <c r="EO9">
        <f t="shared" si="17"/>
        <v>99999999</v>
      </c>
      <c r="EP9">
        <f t="shared" si="17"/>
        <v>99999999</v>
      </c>
      <c r="EQ9">
        <f t="shared" si="17"/>
        <v>99999999</v>
      </c>
      <c r="ER9">
        <f t="shared" si="17"/>
        <v>99999999</v>
      </c>
      <c r="ES9">
        <f t="shared" si="17"/>
        <v>99999999</v>
      </c>
      <c r="ET9">
        <f t="shared" si="18"/>
        <v>99999999</v>
      </c>
      <c r="EU9">
        <f t="shared" si="18"/>
        <v>99999999</v>
      </c>
      <c r="EV9">
        <f t="shared" si="18"/>
        <v>99999999</v>
      </c>
      <c r="EW9">
        <f t="shared" si="18"/>
        <v>99999999</v>
      </c>
      <c r="EX9">
        <f t="shared" si="18"/>
        <v>99999999</v>
      </c>
      <c r="EY9">
        <f t="shared" si="18"/>
        <v>99999999</v>
      </c>
      <c r="EZ9">
        <f t="shared" si="18"/>
        <v>99999999</v>
      </c>
      <c r="FA9">
        <f t="shared" si="18"/>
        <v>99999999</v>
      </c>
      <c r="FB9">
        <f t="shared" si="18"/>
        <v>99999999</v>
      </c>
      <c r="FC9">
        <f t="shared" si="18"/>
        <v>99999999</v>
      </c>
      <c r="FD9">
        <f t="shared" si="19"/>
        <v>99999999</v>
      </c>
      <c r="FE9">
        <f t="shared" si="19"/>
        <v>99999999</v>
      </c>
      <c r="FF9">
        <f t="shared" si="19"/>
        <v>99999999</v>
      </c>
      <c r="FG9">
        <f t="shared" si="19"/>
        <v>99999999</v>
      </c>
      <c r="FH9">
        <f t="shared" si="19"/>
        <v>99999999</v>
      </c>
      <c r="FI9">
        <f t="shared" si="19"/>
        <v>99999999</v>
      </c>
      <c r="FJ9">
        <f t="shared" si="19"/>
        <v>99999999</v>
      </c>
      <c r="FK9">
        <f t="shared" si="19"/>
        <v>99999999</v>
      </c>
      <c r="FL9">
        <f t="shared" si="19"/>
        <v>99999999</v>
      </c>
      <c r="FM9">
        <f t="shared" si="19"/>
        <v>99999999</v>
      </c>
      <c r="FN9">
        <f t="shared" si="20"/>
        <v>99999999</v>
      </c>
      <c r="FO9">
        <f t="shared" si="20"/>
        <v>99999999</v>
      </c>
      <c r="FP9">
        <f t="shared" si="20"/>
        <v>99999999</v>
      </c>
      <c r="FQ9">
        <f t="shared" si="20"/>
        <v>99999999</v>
      </c>
      <c r="FR9">
        <f t="shared" si="20"/>
        <v>99999999</v>
      </c>
      <c r="FS9">
        <f t="shared" si="20"/>
        <v>99999999</v>
      </c>
      <c r="FT9">
        <f t="shared" si="20"/>
        <v>99999999</v>
      </c>
      <c r="FU9">
        <f t="shared" si="20"/>
        <v>99999999</v>
      </c>
      <c r="FV9">
        <f t="shared" si="20"/>
        <v>99999999</v>
      </c>
      <c r="FW9">
        <f t="shared" si="20"/>
        <v>99999999</v>
      </c>
      <c r="FX9">
        <f t="shared" si="21"/>
        <v>99999999</v>
      </c>
      <c r="FY9">
        <f t="shared" si="21"/>
        <v>99999999</v>
      </c>
      <c r="FZ9">
        <f t="shared" si="21"/>
        <v>99999999</v>
      </c>
      <c r="GA9">
        <f t="shared" si="21"/>
        <v>99999999</v>
      </c>
      <c r="GB9">
        <f t="shared" si="21"/>
        <v>99999999</v>
      </c>
      <c r="GC9">
        <f t="shared" si="21"/>
        <v>99999999</v>
      </c>
      <c r="GD9">
        <f t="shared" si="21"/>
        <v>99999999</v>
      </c>
      <c r="GE9">
        <f t="shared" si="21"/>
        <v>99999999</v>
      </c>
      <c r="GF9">
        <f t="shared" si="21"/>
        <v>99999999</v>
      </c>
      <c r="GG9">
        <f t="shared" si="21"/>
        <v>99999999</v>
      </c>
      <c r="GH9">
        <f t="shared" si="22"/>
        <v>99999999</v>
      </c>
      <c r="GI9">
        <f t="shared" si="22"/>
        <v>99999999</v>
      </c>
      <c r="GJ9">
        <f t="shared" si="22"/>
        <v>99999999</v>
      </c>
      <c r="GK9">
        <f t="shared" si="22"/>
        <v>99999999</v>
      </c>
      <c r="GL9">
        <f t="shared" si="22"/>
        <v>99999999</v>
      </c>
      <c r="GM9">
        <f t="shared" si="22"/>
        <v>99999999</v>
      </c>
      <c r="GN9">
        <f t="shared" si="22"/>
        <v>99999999</v>
      </c>
      <c r="GO9">
        <f t="shared" si="22"/>
        <v>99999999</v>
      </c>
      <c r="GP9">
        <f t="shared" si="22"/>
        <v>99999999</v>
      </c>
      <c r="GQ9">
        <f t="shared" si="22"/>
        <v>99999999</v>
      </c>
      <c r="GR9">
        <f t="shared" si="23"/>
        <v>99999999</v>
      </c>
      <c r="GS9">
        <f t="shared" si="23"/>
        <v>99999999</v>
      </c>
      <c r="GT9">
        <f t="shared" si="23"/>
        <v>99999999</v>
      </c>
      <c r="GU9">
        <f t="shared" si="23"/>
        <v>99999999</v>
      </c>
      <c r="GV9">
        <f t="shared" si="23"/>
        <v>99999999</v>
      </c>
      <c r="GW9">
        <f t="shared" si="23"/>
        <v>99999999</v>
      </c>
      <c r="GX9">
        <f t="shared" si="23"/>
        <v>99999999</v>
      </c>
      <c r="GY9">
        <f t="shared" si="23"/>
        <v>99999999</v>
      </c>
      <c r="GZ9">
        <f t="shared" si="23"/>
        <v>99999999</v>
      </c>
      <c r="HA9">
        <f t="shared" si="23"/>
        <v>99999999</v>
      </c>
      <c r="HB9">
        <f t="shared" si="24"/>
        <v>99999999</v>
      </c>
      <c r="HC9">
        <f t="shared" si="24"/>
        <v>99999999</v>
      </c>
      <c r="HD9">
        <f t="shared" si="24"/>
        <v>99999999</v>
      </c>
      <c r="HE9">
        <f t="shared" si="24"/>
        <v>99999999</v>
      </c>
      <c r="HF9">
        <f t="shared" si="24"/>
        <v>99999999</v>
      </c>
      <c r="HG9">
        <f t="shared" si="24"/>
        <v>99999999</v>
      </c>
      <c r="HH9">
        <f t="shared" si="24"/>
        <v>99999999</v>
      </c>
      <c r="HI9">
        <f t="shared" si="24"/>
        <v>99999999</v>
      </c>
      <c r="HJ9">
        <f t="shared" si="24"/>
        <v>99999999</v>
      </c>
      <c r="HK9">
        <f t="shared" si="24"/>
        <v>99999999</v>
      </c>
      <c r="HL9">
        <f t="shared" si="25"/>
        <v>99999999</v>
      </c>
      <c r="HM9">
        <f t="shared" si="25"/>
        <v>99999999</v>
      </c>
      <c r="HN9">
        <f t="shared" si="25"/>
        <v>99999999</v>
      </c>
      <c r="HO9">
        <f t="shared" si="25"/>
        <v>99999999</v>
      </c>
      <c r="HP9">
        <f t="shared" si="25"/>
        <v>99999999</v>
      </c>
      <c r="HQ9">
        <f t="shared" si="25"/>
        <v>99999999</v>
      </c>
      <c r="HR9">
        <f t="shared" si="25"/>
        <v>99999999</v>
      </c>
      <c r="HS9">
        <f t="shared" si="25"/>
        <v>99999999</v>
      </c>
      <c r="HT9">
        <f t="shared" si="25"/>
        <v>99999999</v>
      </c>
      <c r="HU9">
        <f t="shared" si="25"/>
        <v>99999999</v>
      </c>
      <c r="HV9">
        <f t="shared" si="26"/>
        <v>99999999</v>
      </c>
      <c r="HW9">
        <f t="shared" si="26"/>
        <v>99999999</v>
      </c>
      <c r="HX9">
        <f t="shared" si="26"/>
        <v>99999999</v>
      </c>
      <c r="HY9">
        <f t="shared" si="26"/>
        <v>99999999</v>
      </c>
      <c r="HZ9">
        <f t="shared" si="26"/>
        <v>99999999</v>
      </c>
      <c r="IA9">
        <f t="shared" si="26"/>
        <v>99999999</v>
      </c>
      <c r="IB9">
        <f t="shared" si="26"/>
        <v>99999999</v>
      </c>
      <c r="IC9">
        <f t="shared" si="26"/>
        <v>99999999</v>
      </c>
      <c r="ID9">
        <f t="shared" si="26"/>
        <v>99999999</v>
      </c>
      <c r="IE9">
        <f t="shared" si="26"/>
        <v>99999999</v>
      </c>
      <c r="IF9">
        <f t="shared" si="27"/>
        <v>99999999</v>
      </c>
      <c r="IG9">
        <f t="shared" si="27"/>
        <v>99999999</v>
      </c>
      <c r="IH9">
        <f t="shared" si="27"/>
        <v>99999999</v>
      </c>
      <c r="II9">
        <f t="shared" si="27"/>
        <v>99999999</v>
      </c>
      <c r="IJ9">
        <f t="shared" si="27"/>
        <v>99999999</v>
      </c>
      <c r="IK9">
        <f t="shared" si="27"/>
        <v>99999999</v>
      </c>
      <c r="IL9">
        <f t="shared" si="27"/>
        <v>99999999</v>
      </c>
      <c r="IM9">
        <f t="shared" si="27"/>
        <v>99999999</v>
      </c>
      <c r="IN9">
        <f t="shared" si="27"/>
        <v>99999999</v>
      </c>
      <c r="IO9">
        <f t="shared" si="27"/>
        <v>99999999</v>
      </c>
      <c r="IP9">
        <f t="shared" si="28"/>
        <v>99999999</v>
      </c>
      <c r="IQ9">
        <f t="shared" si="28"/>
        <v>99999999</v>
      </c>
      <c r="IR9">
        <f t="shared" si="28"/>
        <v>99999999</v>
      </c>
      <c r="IS9">
        <f t="shared" si="28"/>
        <v>99999999</v>
      </c>
      <c r="IT9">
        <f t="shared" si="28"/>
        <v>99999999</v>
      </c>
      <c r="IU9">
        <f t="shared" si="28"/>
        <v>99999999</v>
      </c>
      <c r="IV9">
        <f t="shared" si="28"/>
        <v>99999999</v>
      </c>
      <c r="IW9">
        <f t="shared" si="28"/>
        <v>99999999</v>
      </c>
      <c r="IX9">
        <f t="shared" si="28"/>
        <v>99999999</v>
      </c>
      <c r="IY9">
        <f t="shared" si="28"/>
        <v>99999999</v>
      </c>
    </row>
    <row r="10" spans="1:259" x14ac:dyDescent="0.3">
      <c r="A10">
        <f>CAMBIOS!A10</f>
        <v>10</v>
      </c>
      <c r="B10">
        <f>IF(D10=1,CAMBIOS!P10*Valor_1+CAMBIOS!Q10*Valor_2+CAMBIOS!R10*Valor_3,IF(CAMBIOS!P10=1,Valor_1,Valor_2))</f>
        <v>5</v>
      </c>
      <c r="C10">
        <f>IF(D10=1,0,IF(CAMBIOS!R10=1,Valor_3,Valor_2))</f>
        <v>7</v>
      </c>
      <c r="D10">
        <f>CAMBIOS!P10+CAMBIOS!Q10+CAMBIOS!R10</f>
        <v>2</v>
      </c>
      <c r="E10">
        <f t="shared" si="0"/>
        <v>99999999</v>
      </c>
      <c r="F10">
        <f t="shared" si="1"/>
        <v>0</v>
      </c>
      <c r="G10">
        <f t="shared" si="2"/>
        <v>0</v>
      </c>
      <c r="H10">
        <f t="shared" si="3"/>
        <v>10</v>
      </c>
      <c r="J10">
        <f t="shared" si="4"/>
        <v>99999999</v>
      </c>
      <c r="K10">
        <f t="shared" si="4"/>
        <v>99999999</v>
      </c>
      <c r="L10">
        <f t="shared" si="4"/>
        <v>99999999</v>
      </c>
      <c r="M10">
        <f t="shared" si="4"/>
        <v>99999999</v>
      </c>
      <c r="N10">
        <f t="shared" si="4"/>
        <v>99999999</v>
      </c>
      <c r="O10">
        <f t="shared" si="4"/>
        <v>99999999</v>
      </c>
      <c r="P10">
        <f t="shared" si="4"/>
        <v>99999999</v>
      </c>
      <c r="Q10">
        <f t="shared" si="4"/>
        <v>99999999</v>
      </c>
      <c r="R10">
        <f t="shared" si="4"/>
        <v>99999999</v>
      </c>
      <c r="S10">
        <f t="shared" si="4"/>
        <v>99999999</v>
      </c>
      <c r="T10">
        <f t="shared" si="5"/>
        <v>99999999</v>
      </c>
      <c r="U10">
        <f t="shared" si="5"/>
        <v>99999999</v>
      </c>
      <c r="V10">
        <f t="shared" si="5"/>
        <v>99999999</v>
      </c>
      <c r="W10">
        <f t="shared" si="5"/>
        <v>99999999</v>
      </c>
      <c r="X10">
        <f t="shared" si="5"/>
        <v>99999999</v>
      </c>
      <c r="Y10">
        <f t="shared" si="5"/>
        <v>99999999</v>
      </c>
      <c r="Z10">
        <f t="shared" si="5"/>
        <v>99999999</v>
      </c>
      <c r="AA10">
        <f t="shared" si="5"/>
        <v>99999999</v>
      </c>
      <c r="AB10">
        <f t="shared" si="5"/>
        <v>99999999</v>
      </c>
      <c r="AC10">
        <f t="shared" si="5"/>
        <v>99999999</v>
      </c>
      <c r="AD10">
        <f t="shared" si="6"/>
        <v>99999999</v>
      </c>
      <c r="AE10">
        <f t="shared" si="6"/>
        <v>99999999</v>
      </c>
      <c r="AF10">
        <f t="shared" si="6"/>
        <v>99999999</v>
      </c>
      <c r="AG10">
        <f t="shared" si="6"/>
        <v>99999999</v>
      </c>
      <c r="AH10">
        <f t="shared" si="6"/>
        <v>99999999</v>
      </c>
      <c r="AI10">
        <f t="shared" si="6"/>
        <v>99999999</v>
      </c>
      <c r="AJ10">
        <f t="shared" si="6"/>
        <v>99999999</v>
      </c>
      <c r="AK10">
        <f t="shared" si="6"/>
        <v>99999999</v>
      </c>
      <c r="AL10">
        <f t="shared" si="6"/>
        <v>99999999</v>
      </c>
      <c r="AM10">
        <f t="shared" si="6"/>
        <v>99999999</v>
      </c>
      <c r="AN10">
        <f t="shared" si="7"/>
        <v>99999999</v>
      </c>
      <c r="AO10">
        <f t="shared" si="7"/>
        <v>99999999</v>
      </c>
      <c r="AP10">
        <f t="shared" si="7"/>
        <v>99999999</v>
      </c>
      <c r="AQ10">
        <f t="shared" si="7"/>
        <v>99999999</v>
      </c>
      <c r="AR10">
        <f t="shared" si="7"/>
        <v>99999999</v>
      </c>
      <c r="AS10">
        <f t="shared" si="7"/>
        <v>99999999</v>
      </c>
      <c r="AT10">
        <f t="shared" si="7"/>
        <v>99999999</v>
      </c>
      <c r="AU10">
        <f t="shared" si="7"/>
        <v>99999999</v>
      </c>
      <c r="AV10">
        <f t="shared" si="7"/>
        <v>99999999</v>
      </c>
      <c r="AW10">
        <f t="shared" si="7"/>
        <v>99999999</v>
      </c>
      <c r="AX10">
        <f t="shared" si="8"/>
        <v>99999999</v>
      </c>
      <c r="AY10">
        <f t="shared" si="8"/>
        <v>99999999</v>
      </c>
      <c r="AZ10">
        <f t="shared" si="8"/>
        <v>99999999</v>
      </c>
      <c r="BA10">
        <f t="shared" si="8"/>
        <v>99999999</v>
      </c>
      <c r="BB10">
        <f t="shared" si="8"/>
        <v>99999999</v>
      </c>
      <c r="BC10">
        <f t="shared" si="8"/>
        <v>99999999</v>
      </c>
      <c r="BD10">
        <f t="shared" si="8"/>
        <v>99999999</v>
      </c>
      <c r="BE10">
        <f t="shared" si="8"/>
        <v>99999999</v>
      </c>
      <c r="BF10">
        <f t="shared" si="8"/>
        <v>99999999</v>
      </c>
      <c r="BG10">
        <f t="shared" si="8"/>
        <v>99999999</v>
      </c>
      <c r="BH10">
        <f t="shared" si="9"/>
        <v>99999999</v>
      </c>
      <c r="BI10">
        <f t="shared" si="9"/>
        <v>99999999</v>
      </c>
      <c r="BJ10">
        <f t="shared" si="9"/>
        <v>99999999</v>
      </c>
      <c r="BK10">
        <f t="shared" si="9"/>
        <v>99999999</v>
      </c>
      <c r="BL10">
        <f t="shared" si="9"/>
        <v>99999999</v>
      </c>
      <c r="BM10">
        <f t="shared" si="9"/>
        <v>99999999</v>
      </c>
      <c r="BN10">
        <f t="shared" si="9"/>
        <v>99999999</v>
      </c>
      <c r="BO10">
        <f t="shared" si="9"/>
        <v>99999999</v>
      </c>
      <c r="BP10">
        <f t="shared" si="9"/>
        <v>99999999</v>
      </c>
      <c r="BQ10">
        <f t="shared" si="9"/>
        <v>99999999</v>
      </c>
      <c r="BR10">
        <f t="shared" si="10"/>
        <v>99999999</v>
      </c>
      <c r="BS10">
        <f t="shared" si="10"/>
        <v>99999999</v>
      </c>
      <c r="BT10">
        <f t="shared" si="10"/>
        <v>99999999</v>
      </c>
      <c r="BU10">
        <f t="shared" si="10"/>
        <v>99999999</v>
      </c>
      <c r="BV10">
        <f t="shared" si="10"/>
        <v>99999999</v>
      </c>
      <c r="BW10">
        <f t="shared" si="10"/>
        <v>99999999</v>
      </c>
      <c r="BX10">
        <f t="shared" si="10"/>
        <v>99999999</v>
      </c>
      <c r="BY10">
        <f t="shared" si="10"/>
        <v>99999999</v>
      </c>
      <c r="BZ10">
        <f t="shared" si="10"/>
        <v>99999999</v>
      </c>
      <c r="CA10">
        <f t="shared" si="10"/>
        <v>99999999</v>
      </c>
      <c r="CB10">
        <f t="shared" si="11"/>
        <v>99999999</v>
      </c>
      <c r="CC10">
        <f t="shared" si="11"/>
        <v>99999999</v>
      </c>
      <c r="CD10">
        <f t="shared" si="11"/>
        <v>99999999</v>
      </c>
      <c r="CE10">
        <f t="shared" si="11"/>
        <v>99999999</v>
      </c>
      <c r="CF10">
        <f t="shared" si="11"/>
        <v>99999999</v>
      </c>
      <c r="CG10">
        <f t="shared" si="11"/>
        <v>99999999</v>
      </c>
      <c r="CH10">
        <f t="shared" si="11"/>
        <v>99999999</v>
      </c>
      <c r="CI10">
        <f t="shared" si="11"/>
        <v>99999999</v>
      </c>
      <c r="CJ10">
        <f t="shared" si="11"/>
        <v>99999999</v>
      </c>
      <c r="CK10">
        <f t="shared" si="11"/>
        <v>99999999</v>
      </c>
      <c r="CL10">
        <f t="shared" si="12"/>
        <v>99999999</v>
      </c>
      <c r="CM10">
        <f t="shared" si="12"/>
        <v>99999999</v>
      </c>
      <c r="CN10">
        <f t="shared" si="12"/>
        <v>99999999</v>
      </c>
      <c r="CO10">
        <f t="shared" si="12"/>
        <v>99999999</v>
      </c>
      <c r="CP10">
        <f t="shared" si="12"/>
        <v>99999999</v>
      </c>
      <c r="CQ10">
        <f t="shared" si="12"/>
        <v>99999999</v>
      </c>
      <c r="CR10">
        <f t="shared" si="12"/>
        <v>99999999</v>
      </c>
      <c r="CS10">
        <f t="shared" si="12"/>
        <v>99999999</v>
      </c>
      <c r="CT10">
        <f t="shared" si="12"/>
        <v>99999999</v>
      </c>
      <c r="CU10">
        <f t="shared" si="12"/>
        <v>99999999</v>
      </c>
      <c r="CV10">
        <f t="shared" si="13"/>
        <v>99999999</v>
      </c>
      <c r="CW10">
        <f t="shared" si="13"/>
        <v>99999999</v>
      </c>
      <c r="CX10">
        <f t="shared" si="13"/>
        <v>99999999</v>
      </c>
      <c r="CY10">
        <f t="shared" si="13"/>
        <v>99999999</v>
      </c>
      <c r="CZ10">
        <f t="shared" si="13"/>
        <v>99999999</v>
      </c>
      <c r="DA10">
        <f t="shared" si="13"/>
        <v>99999999</v>
      </c>
      <c r="DB10">
        <f t="shared" si="13"/>
        <v>99999999</v>
      </c>
      <c r="DC10">
        <f t="shared" si="13"/>
        <v>99999999</v>
      </c>
      <c r="DD10">
        <f t="shared" si="13"/>
        <v>99999999</v>
      </c>
      <c r="DE10">
        <f t="shared" si="13"/>
        <v>99999999</v>
      </c>
      <c r="DF10">
        <f t="shared" si="14"/>
        <v>99999999</v>
      </c>
      <c r="DG10">
        <f t="shared" si="14"/>
        <v>99999999</v>
      </c>
      <c r="DH10">
        <f t="shared" si="14"/>
        <v>99999999</v>
      </c>
      <c r="DI10">
        <f t="shared" si="14"/>
        <v>99999999</v>
      </c>
      <c r="DJ10">
        <f t="shared" si="14"/>
        <v>99999999</v>
      </c>
      <c r="DK10">
        <f t="shared" si="14"/>
        <v>99999999</v>
      </c>
      <c r="DL10">
        <f t="shared" si="14"/>
        <v>99999999</v>
      </c>
      <c r="DM10">
        <f t="shared" si="14"/>
        <v>99999999</v>
      </c>
      <c r="DN10">
        <f t="shared" si="14"/>
        <v>99999999</v>
      </c>
      <c r="DO10">
        <f t="shared" si="14"/>
        <v>99999999</v>
      </c>
      <c r="DP10">
        <f t="shared" si="15"/>
        <v>99999999</v>
      </c>
      <c r="DQ10">
        <f t="shared" si="15"/>
        <v>99999999</v>
      </c>
      <c r="DR10">
        <f t="shared" si="15"/>
        <v>99999999</v>
      </c>
      <c r="DS10">
        <f t="shared" si="15"/>
        <v>99999999</v>
      </c>
      <c r="DT10">
        <f t="shared" si="15"/>
        <v>99999999</v>
      </c>
      <c r="DU10">
        <f t="shared" si="15"/>
        <v>99999999</v>
      </c>
      <c r="DV10">
        <f t="shared" si="15"/>
        <v>99999999</v>
      </c>
      <c r="DW10">
        <f t="shared" si="15"/>
        <v>99999999</v>
      </c>
      <c r="DX10">
        <f t="shared" si="15"/>
        <v>99999999</v>
      </c>
      <c r="DY10">
        <f t="shared" si="15"/>
        <v>99999999</v>
      </c>
      <c r="DZ10">
        <f t="shared" si="16"/>
        <v>99999999</v>
      </c>
      <c r="EA10">
        <f t="shared" si="16"/>
        <v>99999999</v>
      </c>
      <c r="EB10">
        <f t="shared" si="16"/>
        <v>99999999</v>
      </c>
      <c r="EC10">
        <f t="shared" si="16"/>
        <v>99999999</v>
      </c>
      <c r="ED10">
        <f t="shared" si="16"/>
        <v>99999999</v>
      </c>
      <c r="EE10">
        <f t="shared" si="16"/>
        <v>99999999</v>
      </c>
      <c r="EF10">
        <f t="shared" si="16"/>
        <v>99999999</v>
      </c>
      <c r="EG10">
        <f t="shared" si="16"/>
        <v>99999999</v>
      </c>
      <c r="EH10">
        <f t="shared" si="16"/>
        <v>99999999</v>
      </c>
      <c r="EI10">
        <f t="shared" si="16"/>
        <v>99999999</v>
      </c>
      <c r="EJ10">
        <f t="shared" si="17"/>
        <v>99999999</v>
      </c>
      <c r="EK10">
        <f t="shared" si="17"/>
        <v>99999999</v>
      </c>
      <c r="EL10">
        <f t="shared" si="17"/>
        <v>99999999</v>
      </c>
      <c r="EM10">
        <f t="shared" si="17"/>
        <v>99999999</v>
      </c>
      <c r="EN10">
        <f t="shared" si="17"/>
        <v>99999999</v>
      </c>
      <c r="EO10">
        <f t="shared" si="17"/>
        <v>99999999</v>
      </c>
      <c r="EP10">
        <f t="shared" si="17"/>
        <v>99999999</v>
      </c>
      <c r="EQ10">
        <f t="shared" si="17"/>
        <v>99999999</v>
      </c>
      <c r="ER10">
        <f t="shared" si="17"/>
        <v>99999999</v>
      </c>
      <c r="ES10">
        <f t="shared" si="17"/>
        <v>99999999</v>
      </c>
      <c r="ET10">
        <f t="shared" si="18"/>
        <v>99999999</v>
      </c>
      <c r="EU10">
        <f t="shared" si="18"/>
        <v>99999999</v>
      </c>
      <c r="EV10">
        <f t="shared" si="18"/>
        <v>99999999</v>
      </c>
      <c r="EW10">
        <f t="shared" si="18"/>
        <v>99999999</v>
      </c>
      <c r="EX10">
        <f t="shared" si="18"/>
        <v>99999999</v>
      </c>
      <c r="EY10">
        <f t="shared" si="18"/>
        <v>99999999</v>
      </c>
      <c r="EZ10">
        <f t="shared" si="18"/>
        <v>99999999</v>
      </c>
      <c r="FA10">
        <f t="shared" si="18"/>
        <v>99999999</v>
      </c>
      <c r="FB10">
        <f t="shared" si="18"/>
        <v>99999999</v>
      </c>
      <c r="FC10">
        <f t="shared" si="18"/>
        <v>99999999</v>
      </c>
      <c r="FD10">
        <f t="shared" si="19"/>
        <v>99999999</v>
      </c>
      <c r="FE10">
        <f t="shared" si="19"/>
        <v>99999999</v>
      </c>
      <c r="FF10">
        <f t="shared" si="19"/>
        <v>99999999</v>
      </c>
      <c r="FG10">
        <f t="shared" si="19"/>
        <v>99999999</v>
      </c>
      <c r="FH10">
        <f t="shared" si="19"/>
        <v>99999999</v>
      </c>
      <c r="FI10">
        <f t="shared" si="19"/>
        <v>99999999</v>
      </c>
      <c r="FJ10">
        <f t="shared" si="19"/>
        <v>99999999</v>
      </c>
      <c r="FK10">
        <f t="shared" si="19"/>
        <v>99999999</v>
      </c>
      <c r="FL10">
        <f t="shared" si="19"/>
        <v>99999999</v>
      </c>
      <c r="FM10">
        <f t="shared" si="19"/>
        <v>99999999</v>
      </c>
      <c r="FN10">
        <f t="shared" si="20"/>
        <v>99999999</v>
      </c>
      <c r="FO10">
        <f t="shared" si="20"/>
        <v>99999999</v>
      </c>
      <c r="FP10">
        <f t="shared" si="20"/>
        <v>99999999</v>
      </c>
      <c r="FQ10">
        <f t="shared" si="20"/>
        <v>99999999</v>
      </c>
      <c r="FR10">
        <f t="shared" si="20"/>
        <v>99999999</v>
      </c>
      <c r="FS10">
        <f t="shared" si="20"/>
        <v>99999999</v>
      </c>
      <c r="FT10">
        <f t="shared" si="20"/>
        <v>99999999</v>
      </c>
      <c r="FU10">
        <f t="shared" si="20"/>
        <v>99999999</v>
      </c>
      <c r="FV10">
        <f t="shared" si="20"/>
        <v>99999999</v>
      </c>
      <c r="FW10">
        <f t="shared" si="20"/>
        <v>99999999</v>
      </c>
      <c r="FX10">
        <f t="shared" si="21"/>
        <v>99999999</v>
      </c>
      <c r="FY10">
        <f t="shared" si="21"/>
        <v>99999999</v>
      </c>
      <c r="FZ10">
        <f t="shared" si="21"/>
        <v>99999999</v>
      </c>
      <c r="GA10">
        <f t="shared" si="21"/>
        <v>99999999</v>
      </c>
      <c r="GB10">
        <f t="shared" si="21"/>
        <v>99999999</v>
      </c>
      <c r="GC10">
        <f t="shared" si="21"/>
        <v>99999999</v>
      </c>
      <c r="GD10">
        <f t="shared" si="21"/>
        <v>99999999</v>
      </c>
      <c r="GE10">
        <f t="shared" si="21"/>
        <v>99999999</v>
      </c>
      <c r="GF10">
        <f t="shared" si="21"/>
        <v>99999999</v>
      </c>
      <c r="GG10">
        <f t="shared" si="21"/>
        <v>99999999</v>
      </c>
      <c r="GH10">
        <f t="shared" si="22"/>
        <v>99999999</v>
      </c>
      <c r="GI10">
        <f t="shared" si="22"/>
        <v>99999999</v>
      </c>
      <c r="GJ10">
        <f t="shared" si="22"/>
        <v>99999999</v>
      </c>
      <c r="GK10">
        <f t="shared" si="22"/>
        <v>99999999</v>
      </c>
      <c r="GL10">
        <f t="shared" si="22"/>
        <v>99999999</v>
      </c>
      <c r="GM10">
        <f t="shared" si="22"/>
        <v>99999999</v>
      </c>
      <c r="GN10">
        <f t="shared" si="22"/>
        <v>99999999</v>
      </c>
      <c r="GO10">
        <f t="shared" si="22"/>
        <v>99999999</v>
      </c>
      <c r="GP10">
        <f t="shared" si="22"/>
        <v>99999999</v>
      </c>
      <c r="GQ10">
        <f t="shared" si="22"/>
        <v>99999999</v>
      </c>
      <c r="GR10">
        <f t="shared" si="23"/>
        <v>99999999</v>
      </c>
      <c r="GS10">
        <f t="shared" si="23"/>
        <v>99999999</v>
      </c>
      <c r="GT10">
        <f t="shared" si="23"/>
        <v>99999999</v>
      </c>
      <c r="GU10">
        <f t="shared" si="23"/>
        <v>99999999</v>
      </c>
      <c r="GV10">
        <f t="shared" si="23"/>
        <v>99999999</v>
      </c>
      <c r="GW10">
        <f t="shared" si="23"/>
        <v>99999999</v>
      </c>
      <c r="GX10">
        <f t="shared" si="23"/>
        <v>99999999</v>
      </c>
      <c r="GY10">
        <f t="shared" si="23"/>
        <v>99999999</v>
      </c>
      <c r="GZ10">
        <f t="shared" si="23"/>
        <v>99999999</v>
      </c>
      <c r="HA10">
        <f t="shared" si="23"/>
        <v>99999999</v>
      </c>
      <c r="HB10">
        <f t="shared" si="24"/>
        <v>99999999</v>
      </c>
      <c r="HC10">
        <f t="shared" si="24"/>
        <v>99999999</v>
      </c>
      <c r="HD10">
        <f t="shared" si="24"/>
        <v>99999999</v>
      </c>
      <c r="HE10">
        <f t="shared" si="24"/>
        <v>99999999</v>
      </c>
      <c r="HF10">
        <f t="shared" si="24"/>
        <v>99999999</v>
      </c>
      <c r="HG10">
        <f t="shared" si="24"/>
        <v>99999999</v>
      </c>
      <c r="HH10">
        <f t="shared" si="24"/>
        <v>99999999</v>
      </c>
      <c r="HI10">
        <f t="shared" si="24"/>
        <v>99999999</v>
      </c>
      <c r="HJ10">
        <f t="shared" si="24"/>
        <v>99999999</v>
      </c>
      <c r="HK10">
        <f t="shared" si="24"/>
        <v>99999999</v>
      </c>
      <c r="HL10">
        <f t="shared" si="25"/>
        <v>99999999</v>
      </c>
      <c r="HM10">
        <f t="shared" si="25"/>
        <v>99999999</v>
      </c>
      <c r="HN10">
        <f t="shared" si="25"/>
        <v>99999999</v>
      </c>
      <c r="HO10">
        <f t="shared" si="25"/>
        <v>99999999</v>
      </c>
      <c r="HP10">
        <f t="shared" si="25"/>
        <v>99999999</v>
      </c>
      <c r="HQ10">
        <f t="shared" si="25"/>
        <v>99999999</v>
      </c>
      <c r="HR10">
        <f t="shared" si="25"/>
        <v>99999999</v>
      </c>
      <c r="HS10">
        <f t="shared" si="25"/>
        <v>99999999</v>
      </c>
      <c r="HT10">
        <f t="shared" si="25"/>
        <v>99999999</v>
      </c>
      <c r="HU10">
        <f t="shared" si="25"/>
        <v>99999999</v>
      </c>
      <c r="HV10">
        <f t="shared" si="26"/>
        <v>99999999</v>
      </c>
      <c r="HW10">
        <f t="shared" si="26"/>
        <v>99999999</v>
      </c>
      <c r="HX10">
        <f t="shared" si="26"/>
        <v>99999999</v>
      </c>
      <c r="HY10">
        <f t="shared" si="26"/>
        <v>99999999</v>
      </c>
      <c r="HZ10">
        <f t="shared" si="26"/>
        <v>99999999</v>
      </c>
      <c r="IA10">
        <f t="shared" si="26"/>
        <v>99999999</v>
      </c>
      <c r="IB10">
        <f t="shared" si="26"/>
        <v>99999999</v>
      </c>
      <c r="IC10">
        <f t="shared" si="26"/>
        <v>99999999</v>
      </c>
      <c r="ID10">
        <f t="shared" si="26"/>
        <v>99999999</v>
      </c>
      <c r="IE10">
        <f t="shared" si="26"/>
        <v>99999999</v>
      </c>
      <c r="IF10">
        <f t="shared" si="27"/>
        <v>99999999</v>
      </c>
      <c r="IG10">
        <f t="shared" si="27"/>
        <v>99999999</v>
      </c>
      <c r="IH10">
        <f t="shared" si="27"/>
        <v>99999999</v>
      </c>
      <c r="II10">
        <f t="shared" si="27"/>
        <v>99999999</v>
      </c>
      <c r="IJ10">
        <f t="shared" si="27"/>
        <v>99999999</v>
      </c>
      <c r="IK10">
        <f t="shared" si="27"/>
        <v>99999999</v>
      </c>
      <c r="IL10">
        <f t="shared" si="27"/>
        <v>99999999</v>
      </c>
      <c r="IM10">
        <f t="shared" si="27"/>
        <v>99999999</v>
      </c>
      <c r="IN10">
        <f t="shared" si="27"/>
        <v>99999999</v>
      </c>
      <c r="IO10">
        <f t="shared" si="27"/>
        <v>99999999</v>
      </c>
      <c r="IP10">
        <f t="shared" si="28"/>
        <v>99999999</v>
      </c>
      <c r="IQ10">
        <f t="shared" si="28"/>
        <v>99999999</v>
      </c>
      <c r="IR10">
        <f t="shared" si="28"/>
        <v>99999999</v>
      </c>
      <c r="IS10">
        <f t="shared" si="28"/>
        <v>99999999</v>
      </c>
      <c r="IT10">
        <f t="shared" si="28"/>
        <v>99999999</v>
      </c>
      <c r="IU10">
        <f t="shared" si="28"/>
        <v>99999999</v>
      </c>
      <c r="IV10">
        <f t="shared" si="28"/>
        <v>99999999</v>
      </c>
      <c r="IW10">
        <f t="shared" si="28"/>
        <v>99999999</v>
      </c>
      <c r="IX10">
        <f t="shared" si="28"/>
        <v>99999999</v>
      </c>
      <c r="IY10">
        <f t="shared" si="28"/>
        <v>99999999</v>
      </c>
    </row>
    <row r="11" spans="1:259" x14ac:dyDescent="0.3">
      <c r="A11">
        <f>CAMBIOS!A11</f>
        <v>20</v>
      </c>
      <c r="B11">
        <f>IF(D11=1,CAMBIOS!P11*Valor_1+CAMBIOS!Q11*Valor_2+CAMBIOS!R11*Valor_3,IF(CAMBIOS!P11=1,Valor_1,Valor_2))</f>
        <v>3</v>
      </c>
      <c r="C11">
        <f>IF(D11=1,0,IF(CAMBIOS!R11=1,Valor_3,Valor_2))</f>
        <v>0</v>
      </c>
      <c r="D11">
        <f>CAMBIOS!P11+CAMBIOS!Q11+CAMBIOS!R11</f>
        <v>1</v>
      </c>
      <c r="E11">
        <f t="shared" si="0"/>
        <v>99999999</v>
      </c>
      <c r="F11">
        <f t="shared" si="1"/>
        <v>6</v>
      </c>
      <c r="G11">
        <f t="shared" si="2"/>
        <v>0</v>
      </c>
      <c r="H11">
        <f t="shared" si="3"/>
        <v>2</v>
      </c>
      <c r="J11">
        <f t="shared" si="4"/>
        <v>99999999</v>
      </c>
      <c r="K11">
        <f t="shared" si="4"/>
        <v>99999999</v>
      </c>
      <c r="L11">
        <f t="shared" si="4"/>
        <v>99999999</v>
      </c>
      <c r="M11">
        <f t="shared" si="4"/>
        <v>99999999</v>
      </c>
      <c r="N11">
        <f t="shared" si="4"/>
        <v>99999999</v>
      </c>
      <c r="O11">
        <f t="shared" si="4"/>
        <v>99999999</v>
      </c>
      <c r="P11">
        <f t="shared" si="4"/>
        <v>99999999</v>
      </c>
      <c r="Q11">
        <f t="shared" si="4"/>
        <v>99999999</v>
      </c>
      <c r="R11">
        <f t="shared" si="4"/>
        <v>99999999</v>
      </c>
      <c r="S11">
        <f t="shared" si="4"/>
        <v>99999999</v>
      </c>
      <c r="T11">
        <f t="shared" si="5"/>
        <v>99999999</v>
      </c>
      <c r="U11">
        <f t="shared" si="5"/>
        <v>99999999</v>
      </c>
      <c r="V11">
        <f t="shared" si="5"/>
        <v>99999999</v>
      </c>
      <c r="W11">
        <f t="shared" si="5"/>
        <v>99999999</v>
      </c>
      <c r="X11">
        <f t="shared" si="5"/>
        <v>99999999</v>
      </c>
      <c r="Y11">
        <f t="shared" si="5"/>
        <v>99999999</v>
      </c>
      <c r="Z11">
        <f t="shared" si="5"/>
        <v>99999999</v>
      </c>
      <c r="AA11">
        <f t="shared" si="5"/>
        <v>99999999</v>
      </c>
      <c r="AB11">
        <f t="shared" si="5"/>
        <v>99999999</v>
      </c>
      <c r="AC11">
        <f t="shared" si="5"/>
        <v>99999999</v>
      </c>
      <c r="AD11">
        <f t="shared" si="6"/>
        <v>99999999</v>
      </c>
      <c r="AE11">
        <f t="shared" si="6"/>
        <v>99999999</v>
      </c>
      <c r="AF11">
        <f t="shared" si="6"/>
        <v>99999999</v>
      </c>
      <c r="AG11">
        <f t="shared" si="6"/>
        <v>99999999</v>
      </c>
      <c r="AH11">
        <f t="shared" si="6"/>
        <v>99999999</v>
      </c>
      <c r="AI11">
        <f t="shared" si="6"/>
        <v>99999999</v>
      </c>
      <c r="AJ11">
        <f t="shared" si="6"/>
        <v>99999999</v>
      </c>
      <c r="AK11">
        <f t="shared" si="6"/>
        <v>99999999</v>
      </c>
      <c r="AL11">
        <f t="shared" si="6"/>
        <v>99999999</v>
      </c>
      <c r="AM11">
        <f t="shared" si="6"/>
        <v>99999999</v>
      </c>
      <c r="AN11">
        <f t="shared" si="7"/>
        <v>99999999</v>
      </c>
      <c r="AO11">
        <f t="shared" si="7"/>
        <v>99999999</v>
      </c>
      <c r="AP11">
        <f t="shared" si="7"/>
        <v>99999999</v>
      </c>
      <c r="AQ11">
        <f t="shared" si="7"/>
        <v>99999999</v>
      </c>
      <c r="AR11">
        <f t="shared" si="7"/>
        <v>99999999</v>
      </c>
      <c r="AS11">
        <f t="shared" si="7"/>
        <v>99999999</v>
      </c>
      <c r="AT11">
        <f t="shared" si="7"/>
        <v>99999999</v>
      </c>
      <c r="AU11">
        <f t="shared" si="7"/>
        <v>99999999</v>
      </c>
      <c r="AV11">
        <f t="shared" si="7"/>
        <v>99999999</v>
      </c>
      <c r="AW11">
        <f t="shared" si="7"/>
        <v>99999999</v>
      </c>
      <c r="AX11">
        <f t="shared" si="8"/>
        <v>99999999</v>
      </c>
      <c r="AY11">
        <f t="shared" si="8"/>
        <v>99999999</v>
      </c>
      <c r="AZ11">
        <f t="shared" si="8"/>
        <v>99999999</v>
      </c>
      <c r="BA11">
        <f t="shared" si="8"/>
        <v>99999999</v>
      </c>
      <c r="BB11">
        <f t="shared" si="8"/>
        <v>99999999</v>
      </c>
      <c r="BC11">
        <f t="shared" si="8"/>
        <v>99999999</v>
      </c>
      <c r="BD11">
        <f t="shared" si="8"/>
        <v>99999999</v>
      </c>
      <c r="BE11">
        <f t="shared" si="8"/>
        <v>99999999</v>
      </c>
      <c r="BF11">
        <f t="shared" si="8"/>
        <v>99999999</v>
      </c>
      <c r="BG11">
        <f t="shared" si="8"/>
        <v>99999999</v>
      </c>
      <c r="BH11">
        <f t="shared" si="9"/>
        <v>99999999</v>
      </c>
      <c r="BI11">
        <f t="shared" si="9"/>
        <v>99999999</v>
      </c>
      <c r="BJ11">
        <f t="shared" si="9"/>
        <v>99999999</v>
      </c>
      <c r="BK11">
        <f t="shared" si="9"/>
        <v>99999999</v>
      </c>
      <c r="BL11">
        <f t="shared" si="9"/>
        <v>99999999</v>
      </c>
      <c r="BM11">
        <f t="shared" si="9"/>
        <v>99999999</v>
      </c>
      <c r="BN11">
        <f t="shared" si="9"/>
        <v>99999999</v>
      </c>
      <c r="BO11">
        <f t="shared" si="9"/>
        <v>99999999</v>
      </c>
      <c r="BP11">
        <f t="shared" si="9"/>
        <v>99999999</v>
      </c>
      <c r="BQ11">
        <f t="shared" si="9"/>
        <v>99999999</v>
      </c>
      <c r="BR11">
        <f t="shared" si="10"/>
        <v>99999999</v>
      </c>
      <c r="BS11">
        <f t="shared" si="10"/>
        <v>99999999</v>
      </c>
      <c r="BT11">
        <f t="shared" si="10"/>
        <v>99999999</v>
      </c>
      <c r="BU11">
        <f t="shared" si="10"/>
        <v>99999999</v>
      </c>
      <c r="BV11">
        <f t="shared" si="10"/>
        <v>99999999</v>
      </c>
      <c r="BW11">
        <f t="shared" si="10"/>
        <v>99999999</v>
      </c>
      <c r="BX11">
        <f t="shared" si="10"/>
        <v>99999999</v>
      </c>
      <c r="BY11">
        <f t="shared" si="10"/>
        <v>99999999</v>
      </c>
      <c r="BZ11">
        <f t="shared" si="10"/>
        <v>99999999</v>
      </c>
      <c r="CA11">
        <f t="shared" si="10"/>
        <v>99999999</v>
      </c>
      <c r="CB11">
        <f t="shared" si="11"/>
        <v>99999999</v>
      </c>
      <c r="CC11">
        <f t="shared" si="11"/>
        <v>99999999</v>
      </c>
      <c r="CD11">
        <f t="shared" si="11"/>
        <v>99999999</v>
      </c>
      <c r="CE11">
        <f t="shared" si="11"/>
        <v>99999999</v>
      </c>
      <c r="CF11">
        <f t="shared" si="11"/>
        <v>99999999</v>
      </c>
      <c r="CG11">
        <f t="shared" si="11"/>
        <v>99999999</v>
      </c>
      <c r="CH11">
        <f t="shared" si="11"/>
        <v>99999999</v>
      </c>
      <c r="CI11">
        <f t="shared" si="11"/>
        <v>99999999</v>
      </c>
      <c r="CJ11">
        <f t="shared" si="11"/>
        <v>99999999</v>
      </c>
      <c r="CK11">
        <f t="shared" si="11"/>
        <v>99999999</v>
      </c>
      <c r="CL11">
        <f t="shared" si="12"/>
        <v>99999999</v>
      </c>
      <c r="CM11">
        <f t="shared" si="12"/>
        <v>99999999</v>
      </c>
      <c r="CN11">
        <f t="shared" si="12"/>
        <v>99999999</v>
      </c>
      <c r="CO11">
        <f t="shared" si="12"/>
        <v>99999999</v>
      </c>
      <c r="CP11">
        <f t="shared" si="12"/>
        <v>99999999</v>
      </c>
      <c r="CQ11">
        <f t="shared" si="12"/>
        <v>99999999</v>
      </c>
      <c r="CR11">
        <f t="shared" si="12"/>
        <v>99999999</v>
      </c>
      <c r="CS11">
        <f t="shared" si="12"/>
        <v>99999999</v>
      </c>
      <c r="CT11">
        <f t="shared" si="12"/>
        <v>99999999</v>
      </c>
      <c r="CU11">
        <f t="shared" si="12"/>
        <v>99999999</v>
      </c>
      <c r="CV11">
        <f t="shared" si="13"/>
        <v>99999999</v>
      </c>
      <c r="CW11">
        <f t="shared" si="13"/>
        <v>99999999</v>
      </c>
      <c r="CX11">
        <f t="shared" si="13"/>
        <v>99999999</v>
      </c>
      <c r="CY11">
        <f t="shared" si="13"/>
        <v>99999999</v>
      </c>
      <c r="CZ11">
        <f t="shared" si="13"/>
        <v>99999999</v>
      </c>
      <c r="DA11">
        <f t="shared" si="13"/>
        <v>99999999</v>
      </c>
      <c r="DB11">
        <f t="shared" si="13"/>
        <v>99999999</v>
      </c>
      <c r="DC11">
        <f t="shared" si="13"/>
        <v>99999999</v>
      </c>
      <c r="DD11">
        <f t="shared" si="13"/>
        <v>99999999</v>
      </c>
      <c r="DE11">
        <f t="shared" si="13"/>
        <v>99999999</v>
      </c>
      <c r="DF11">
        <f t="shared" si="14"/>
        <v>99999999</v>
      </c>
      <c r="DG11">
        <f t="shared" si="14"/>
        <v>99999999</v>
      </c>
      <c r="DH11">
        <f t="shared" si="14"/>
        <v>99999999</v>
      </c>
      <c r="DI11">
        <f t="shared" si="14"/>
        <v>99999999</v>
      </c>
      <c r="DJ11">
        <f t="shared" si="14"/>
        <v>99999999</v>
      </c>
      <c r="DK11">
        <f t="shared" si="14"/>
        <v>99999999</v>
      </c>
      <c r="DL11">
        <f t="shared" si="14"/>
        <v>99999999</v>
      </c>
      <c r="DM11">
        <f t="shared" si="14"/>
        <v>99999999</v>
      </c>
      <c r="DN11">
        <f t="shared" si="14"/>
        <v>99999999</v>
      </c>
      <c r="DO11">
        <f t="shared" si="14"/>
        <v>99999999</v>
      </c>
      <c r="DP11">
        <f t="shared" si="15"/>
        <v>99999999</v>
      </c>
      <c r="DQ11">
        <f t="shared" si="15"/>
        <v>99999999</v>
      </c>
      <c r="DR11">
        <f t="shared" si="15"/>
        <v>99999999</v>
      </c>
      <c r="DS11">
        <f t="shared" si="15"/>
        <v>99999999</v>
      </c>
      <c r="DT11">
        <f t="shared" si="15"/>
        <v>99999999</v>
      </c>
      <c r="DU11">
        <f t="shared" si="15"/>
        <v>99999999</v>
      </c>
      <c r="DV11">
        <f t="shared" si="15"/>
        <v>99999999</v>
      </c>
      <c r="DW11">
        <f t="shared" si="15"/>
        <v>99999999</v>
      </c>
      <c r="DX11">
        <f t="shared" si="15"/>
        <v>99999999</v>
      </c>
      <c r="DY11">
        <f t="shared" si="15"/>
        <v>99999999</v>
      </c>
      <c r="DZ11">
        <f t="shared" si="16"/>
        <v>99999999</v>
      </c>
      <c r="EA11">
        <f t="shared" si="16"/>
        <v>99999999</v>
      </c>
      <c r="EB11">
        <f t="shared" si="16"/>
        <v>99999999</v>
      </c>
      <c r="EC11">
        <f t="shared" si="16"/>
        <v>99999999</v>
      </c>
      <c r="ED11">
        <f t="shared" si="16"/>
        <v>99999999</v>
      </c>
      <c r="EE11">
        <f t="shared" si="16"/>
        <v>99999999</v>
      </c>
      <c r="EF11">
        <f t="shared" si="16"/>
        <v>99999999</v>
      </c>
      <c r="EG11">
        <f t="shared" si="16"/>
        <v>99999999</v>
      </c>
      <c r="EH11">
        <f t="shared" si="16"/>
        <v>99999999</v>
      </c>
      <c r="EI11">
        <f t="shared" si="16"/>
        <v>99999999</v>
      </c>
      <c r="EJ11">
        <f t="shared" si="17"/>
        <v>99999999</v>
      </c>
      <c r="EK11">
        <f t="shared" si="17"/>
        <v>99999999</v>
      </c>
      <c r="EL11">
        <f t="shared" si="17"/>
        <v>99999999</v>
      </c>
      <c r="EM11">
        <f t="shared" si="17"/>
        <v>99999999</v>
      </c>
      <c r="EN11">
        <f t="shared" si="17"/>
        <v>99999999</v>
      </c>
      <c r="EO11">
        <f t="shared" si="17"/>
        <v>99999999</v>
      </c>
      <c r="EP11">
        <f t="shared" si="17"/>
        <v>99999999</v>
      </c>
      <c r="EQ11">
        <f t="shared" si="17"/>
        <v>99999999</v>
      </c>
      <c r="ER11">
        <f t="shared" si="17"/>
        <v>99999999</v>
      </c>
      <c r="ES11">
        <f t="shared" si="17"/>
        <v>99999999</v>
      </c>
      <c r="ET11">
        <f t="shared" si="18"/>
        <v>99999999</v>
      </c>
      <c r="EU11">
        <f t="shared" si="18"/>
        <v>99999999</v>
      </c>
      <c r="EV11">
        <f t="shared" si="18"/>
        <v>99999999</v>
      </c>
      <c r="EW11">
        <f t="shared" si="18"/>
        <v>99999999</v>
      </c>
      <c r="EX11">
        <f t="shared" si="18"/>
        <v>99999999</v>
      </c>
      <c r="EY11">
        <f t="shared" si="18"/>
        <v>99999999</v>
      </c>
      <c r="EZ11">
        <f t="shared" si="18"/>
        <v>99999999</v>
      </c>
      <c r="FA11">
        <f t="shared" si="18"/>
        <v>99999999</v>
      </c>
      <c r="FB11">
        <f t="shared" si="18"/>
        <v>99999999</v>
      </c>
      <c r="FC11">
        <f t="shared" si="18"/>
        <v>99999999</v>
      </c>
      <c r="FD11">
        <f t="shared" si="19"/>
        <v>99999999</v>
      </c>
      <c r="FE11">
        <f t="shared" si="19"/>
        <v>99999999</v>
      </c>
      <c r="FF11">
        <f t="shared" si="19"/>
        <v>99999999</v>
      </c>
      <c r="FG11">
        <f t="shared" si="19"/>
        <v>99999999</v>
      </c>
      <c r="FH11">
        <f t="shared" si="19"/>
        <v>99999999</v>
      </c>
      <c r="FI11">
        <f t="shared" si="19"/>
        <v>99999999</v>
      </c>
      <c r="FJ11">
        <f t="shared" si="19"/>
        <v>99999999</v>
      </c>
      <c r="FK11">
        <f t="shared" si="19"/>
        <v>99999999</v>
      </c>
      <c r="FL11">
        <f t="shared" si="19"/>
        <v>99999999</v>
      </c>
      <c r="FM11">
        <f t="shared" si="19"/>
        <v>99999999</v>
      </c>
      <c r="FN11">
        <f t="shared" si="20"/>
        <v>99999999</v>
      </c>
      <c r="FO11">
        <f t="shared" si="20"/>
        <v>99999999</v>
      </c>
      <c r="FP11">
        <f t="shared" si="20"/>
        <v>99999999</v>
      </c>
      <c r="FQ11">
        <f t="shared" si="20"/>
        <v>99999999</v>
      </c>
      <c r="FR11">
        <f t="shared" si="20"/>
        <v>99999999</v>
      </c>
      <c r="FS11">
        <f t="shared" si="20"/>
        <v>99999999</v>
      </c>
      <c r="FT11">
        <f t="shared" si="20"/>
        <v>99999999</v>
      </c>
      <c r="FU11">
        <f t="shared" si="20"/>
        <v>99999999</v>
      </c>
      <c r="FV11">
        <f t="shared" si="20"/>
        <v>99999999</v>
      </c>
      <c r="FW11">
        <f t="shared" si="20"/>
        <v>99999999</v>
      </c>
      <c r="FX11">
        <f t="shared" si="21"/>
        <v>99999999</v>
      </c>
      <c r="FY11">
        <f t="shared" si="21"/>
        <v>99999999</v>
      </c>
      <c r="FZ11">
        <f t="shared" si="21"/>
        <v>99999999</v>
      </c>
      <c r="GA11">
        <f t="shared" si="21"/>
        <v>99999999</v>
      </c>
      <c r="GB11">
        <f t="shared" si="21"/>
        <v>99999999</v>
      </c>
      <c r="GC11">
        <f t="shared" si="21"/>
        <v>99999999</v>
      </c>
      <c r="GD11">
        <f t="shared" si="21"/>
        <v>99999999</v>
      </c>
      <c r="GE11">
        <f t="shared" si="21"/>
        <v>99999999</v>
      </c>
      <c r="GF11">
        <f t="shared" si="21"/>
        <v>99999999</v>
      </c>
      <c r="GG11">
        <f t="shared" si="21"/>
        <v>99999999</v>
      </c>
      <c r="GH11">
        <f t="shared" si="22"/>
        <v>99999999</v>
      </c>
      <c r="GI11">
        <f t="shared" si="22"/>
        <v>99999999</v>
      </c>
      <c r="GJ11">
        <f t="shared" si="22"/>
        <v>99999999</v>
      </c>
      <c r="GK11">
        <f t="shared" si="22"/>
        <v>99999999</v>
      </c>
      <c r="GL11">
        <f t="shared" si="22"/>
        <v>99999999</v>
      </c>
      <c r="GM11">
        <f t="shared" si="22"/>
        <v>99999999</v>
      </c>
      <c r="GN11">
        <f t="shared" si="22"/>
        <v>99999999</v>
      </c>
      <c r="GO11">
        <f t="shared" si="22"/>
        <v>99999999</v>
      </c>
      <c r="GP11">
        <f t="shared" si="22"/>
        <v>99999999</v>
      </c>
      <c r="GQ11">
        <f t="shared" si="22"/>
        <v>99999999</v>
      </c>
      <c r="GR11">
        <f t="shared" si="23"/>
        <v>99999999</v>
      </c>
      <c r="GS11">
        <f t="shared" si="23"/>
        <v>99999999</v>
      </c>
      <c r="GT11">
        <f t="shared" si="23"/>
        <v>99999999</v>
      </c>
      <c r="GU11">
        <f t="shared" si="23"/>
        <v>99999999</v>
      </c>
      <c r="GV11">
        <f t="shared" si="23"/>
        <v>99999999</v>
      </c>
      <c r="GW11">
        <f t="shared" si="23"/>
        <v>99999999</v>
      </c>
      <c r="GX11">
        <f t="shared" si="23"/>
        <v>99999999</v>
      </c>
      <c r="GY11">
        <f t="shared" si="23"/>
        <v>99999999</v>
      </c>
      <c r="GZ11">
        <f t="shared" si="23"/>
        <v>99999999</v>
      </c>
      <c r="HA11">
        <f t="shared" si="23"/>
        <v>99999999</v>
      </c>
      <c r="HB11">
        <f t="shared" si="24"/>
        <v>99999999</v>
      </c>
      <c r="HC11">
        <f t="shared" si="24"/>
        <v>99999999</v>
      </c>
      <c r="HD11">
        <f t="shared" si="24"/>
        <v>99999999</v>
      </c>
      <c r="HE11">
        <f t="shared" si="24"/>
        <v>99999999</v>
      </c>
      <c r="HF11">
        <f t="shared" si="24"/>
        <v>99999999</v>
      </c>
      <c r="HG11">
        <f t="shared" si="24"/>
        <v>99999999</v>
      </c>
      <c r="HH11">
        <f t="shared" si="24"/>
        <v>99999999</v>
      </c>
      <c r="HI11">
        <f t="shared" si="24"/>
        <v>99999999</v>
      </c>
      <c r="HJ11">
        <f t="shared" si="24"/>
        <v>99999999</v>
      </c>
      <c r="HK11">
        <f t="shared" si="24"/>
        <v>99999999</v>
      </c>
      <c r="HL11">
        <f t="shared" si="25"/>
        <v>99999999</v>
      </c>
      <c r="HM11">
        <f t="shared" si="25"/>
        <v>99999999</v>
      </c>
      <c r="HN11">
        <f t="shared" si="25"/>
        <v>99999999</v>
      </c>
      <c r="HO11">
        <f t="shared" si="25"/>
        <v>99999999</v>
      </c>
      <c r="HP11">
        <f t="shared" si="25"/>
        <v>99999999</v>
      </c>
      <c r="HQ11">
        <f t="shared" si="25"/>
        <v>99999999</v>
      </c>
      <c r="HR11">
        <f t="shared" si="25"/>
        <v>99999999</v>
      </c>
      <c r="HS11">
        <f t="shared" si="25"/>
        <v>99999999</v>
      </c>
      <c r="HT11">
        <f t="shared" si="25"/>
        <v>99999999</v>
      </c>
      <c r="HU11">
        <f t="shared" si="25"/>
        <v>99999999</v>
      </c>
      <c r="HV11">
        <f t="shared" si="26"/>
        <v>99999999</v>
      </c>
      <c r="HW11">
        <f t="shared" si="26"/>
        <v>99999999</v>
      </c>
      <c r="HX11">
        <f t="shared" si="26"/>
        <v>99999999</v>
      </c>
      <c r="HY11">
        <f t="shared" si="26"/>
        <v>99999999</v>
      </c>
      <c r="HZ11">
        <f t="shared" si="26"/>
        <v>99999999</v>
      </c>
      <c r="IA11">
        <f t="shared" si="26"/>
        <v>99999999</v>
      </c>
      <c r="IB11">
        <f t="shared" si="26"/>
        <v>99999999</v>
      </c>
      <c r="IC11">
        <f t="shared" si="26"/>
        <v>99999999</v>
      </c>
      <c r="ID11">
        <f t="shared" si="26"/>
        <v>99999999</v>
      </c>
      <c r="IE11">
        <f t="shared" si="26"/>
        <v>99999999</v>
      </c>
      <c r="IF11">
        <f t="shared" si="27"/>
        <v>99999999</v>
      </c>
      <c r="IG11">
        <f t="shared" si="27"/>
        <v>99999999</v>
      </c>
      <c r="IH11">
        <f t="shared" si="27"/>
        <v>99999999</v>
      </c>
      <c r="II11">
        <f t="shared" si="27"/>
        <v>99999999</v>
      </c>
      <c r="IJ11">
        <f t="shared" si="27"/>
        <v>99999999</v>
      </c>
      <c r="IK11">
        <f t="shared" si="27"/>
        <v>99999999</v>
      </c>
      <c r="IL11">
        <f t="shared" si="27"/>
        <v>99999999</v>
      </c>
      <c r="IM11">
        <f t="shared" si="27"/>
        <v>99999999</v>
      </c>
      <c r="IN11">
        <f t="shared" si="27"/>
        <v>99999999</v>
      </c>
      <c r="IO11">
        <f t="shared" si="27"/>
        <v>99999999</v>
      </c>
      <c r="IP11">
        <f t="shared" si="28"/>
        <v>99999999</v>
      </c>
      <c r="IQ11">
        <f t="shared" si="28"/>
        <v>99999999</v>
      </c>
      <c r="IR11">
        <f t="shared" si="28"/>
        <v>99999999</v>
      </c>
      <c r="IS11">
        <f t="shared" si="28"/>
        <v>99999999</v>
      </c>
      <c r="IT11">
        <f t="shared" si="28"/>
        <v>99999999</v>
      </c>
      <c r="IU11">
        <f t="shared" si="28"/>
        <v>99999999</v>
      </c>
      <c r="IV11">
        <f t="shared" si="28"/>
        <v>99999999</v>
      </c>
      <c r="IW11">
        <f t="shared" si="28"/>
        <v>99999999</v>
      </c>
      <c r="IX11">
        <f t="shared" si="28"/>
        <v>99999999</v>
      </c>
      <c r="IY11">
        <f t="shared" si="28"/>
        <v>99999999</v>
      </c>
    </row>
    <row r="12" spans="1:259" x14ac:dyDescent="0.3">
      <c r="A12">
        <f>CAMBIOS!A12</f>
        <v>20</v>
      </c>
      <c r="B12">
        <f>IF(D12=1,CAMBIOS!P12*Valor_1+CAMBIOS!Q12*Valor_2+CAMBIOS!R12*Valor_3,IF(CAMBIOS!P12=1,Valor_1,Valor_2))</f>
        <v>5</v>
      </c>
      <c r="C12">
        <f>IF(D12=1,0,IF(CAMBIOS!R12=1,Valor_3,Valor_2))</f>
        <v>0</v>
      </c>
      <c r="D12">
        <f>CAMBIOS!P12+CAMBIOS!Q12+CAMBIOS!R12</f>
        <v>1</v>
      </c>
      <c r="E12">
        <f t="shared" si="0"/>
        <v>99999999</v>
      </c>
      <c r="F12">
        <f t="shared" si="1"/>
        <v>4</v>
      </c>
      <c r="G12">
        <f t="shared" si="2"/>
        <v>0</v>
      </c>
      <c r="H12">
        <f t="shared" si="3"/>
        <v>0</v>
      </c>
      <c r="J12">
        <f t="shared" si="4"/>
        <v>99999999</v>
      </c>
      <c r="K12">
        <f t="shared" si="4"/>
        <v>99999999</v>
      </c>
      <c r="L12">
        <f t="shared" si="4"/>
        <v>99999999</v>
      </c>
      <c r="M12">
        <f t="shared" si="4"/>
        <v>99999999</v>
      </c>
      <c r="N12">
        <f t="shared" si="4"/>
        <v>99999999</v>
      </c>
      <c r="O12">
        <f t="shared" si="4"/>
        <v>99999999</v>
      </c>
      <c r="P12">
        <f t="shared" si="4"/>
        <v>99999999</v>
      </c>
      <c r="Q12">
        <f t="shared" si="4"/>
        <v>99999999</v>
      </c>
      <c r="R12">
        <f t="shared" si="4"/>
        <v>99999999</v>
      </c>
      <c r="S12">
        <f t="shared" si="4"/>
        <v>99999999</v>
      </c>
      <c r="T12">
        <f t="shared" si="5"/>
        <v>99999999</v>
      </c>
      <c r="U12">
        <f t="shared" si="5"/>
        <v>99999999</v>
      </c>
      <c r="V12">
        <f t="shared" si="5"/>
        <v>99999999</v>
      </c>
      <c r="W12">
        <f t="shared" si="5"/>
        <v>99999999</v>
      </c>
      <c r="X12">
        <f t="shared" si="5"/>
        <v>99999999</v>
      </c>
      <c r="Y12">
        <f t="shared" si="5"/>
        <v>99999999</v>
      </c>
      <c r="Z12">
        <f t="shared" si="5"/>
        <v>99999999</v>
      </c>
      <c r="AA12">
        <f t="shared" si="5"/>
        <v>99999999</v>
      </c>
      <c r="AB12">
        <f t="shared" si="5"/>
        <v>99999999</v>
      </c>
      <c r="AC12">
        <f t="shared" si="5"/>
        <v>99999999</v>
      </c>
      <c r="AD12">
        <f t="shared" si="6"/>
        <v>99999999</v>
      </c>
      <c r="AE12">
        <f t="shared" si="6"/>
        <v>99999999</v>
      </c>
      <c r="AF12">
        <f t="shared" si="6"/>
        <v>99999999</v>
      </c>
      <c r="AG12">
        <f t="shared" si="6"/>
        <v>99999999</v>
      </c>
      <c r="AH12">
        <f t="shared" si="6"/>
        <v>99999999</v>
      </c>
      <c r="AI12">
        <f t="shared" si="6"/>
        <v>99999999</v>
      </c>
      <c r="AJ12">
        <f t="shared" si="6"/>
        <v>99999999</v>
      </c>
      <c r="AK12">
        <f t="shared" si="6"/>
        <v>99999999</v>
      </c>
      <c r="AL12">
        <f t="shared" si="6"/>
        <v>99999999</v>
      </c>
      <c r="AM12">
        <f t="shared" si="6"/>
        <v>99999999</v>
      </c>
      <c r="AN12">
        <f t="shared" si="7"/>
        <v>99999999</v>
      </c>
      <c r="AO12">
        <f t="shared" si="7"/>
        <v>99999999</v>
      </c>
      <c r="AP12">
        <f t="shared" si="7"/>
        <v>99999999</v>
      </c>
      <c r="AQ12">
        <f t="shared" si="7"/>
        <v>99999999</v>
      </c>
      <c r="AR12">
        <f t="shared" si="7"/>
        <v>99999999</v>
      </c>
      <c r="AS12">
        <f t="shared" si="7"/>
        <v>99999999</v>
      </c>
      <c r="AT12">
        <f t="shared" si="7"/>
        <v>99999999</v>
      </c>
      <c r="AU12">
        <f t="shared" si="7"/>
        <v>99999999</v>
      </c>
      <c r="AV12">
        <f t="shared" si="7"/>
        <v>99999999</v>
      </c>
      <c r="AW12">
        <f t="shared" si="7"/>
        <v>99999999</v>
      </c>
      <c r="AX12">
        <f t="shared" si="8"/>
        <v>99999999</v>
      </c>
      <c r="AY12">
        <f t="shared" si="8"/>
        <v>99999999</v>
      </c>
      <c r="AZ12">
        <f t="shared" si="8"/>
        <v>99999999</v>
      </c>
      <c r="BA12">
        <f t="shared" si="8"/>
        <v>99999999</v>
      </c>
      <c r="BB12">
        <f t="shared" si="8"/>
        <v>99999999</v>
      </c>
      <c r="BC12">
        <f t="shared" si="8"/>
        <v>99999999</v>
      </c>
      <c r="BD12">
        <f t="shared" si="8"/>
        <v>99999999</v>
      </c>
      <c r="BE12">
        <f t="shared" si="8"/>
        <v>99999999</v>
      </c>
      <c r="BF12">
        <f t="shared" si="8"/>
        <v>99999999</v>
      </c>
      <c r="BG12">
        <f t="shared" si="8"/>
        <v>99999999</v>
      </c>
      <c r="BH12">
        <f t="shared" si="9"/>
        <v>99999999</v>
      </c>
      <c r="BI12">
        <f t="shared" si="9"/>
        <v>99999999</v>
      </c>
      <c r="BJ12">
        <f t="shared" si="9"/>
        <v>99999999</v>
      </c>
      <c r="BK12">
        <f t="shared" si="9"/>
        <v>99999999</v>
      </c>
      <c r="BL12">
        <f t="shared" si="9"/>
        <v>99999999</v>
      </c>
      <c r="BM12">
        <f t="shared" si="9"/>
        <v>99999999</v>
      </c>
      <c r="BN12">
        <f t="shared" si="9"/>
        <v>99999999</v>
      </c>
      <c r="BO12">
        <f t="shared" si="9"/>
        <v>99999999</v>
      </c>
      <c r="BP12">
        <f t="shared" si="9"/>
        <v>99999999</v>
      </c>
      <c r="BQ12">
        <f t="shared" si="9"/>
        <v>99999999</v>
      </c>
      <c r="BR12">
        <f t="shared" si="10"/>
        <v>99999999</v>
      </c>
      <c r="BS12">
        <f t="shared" si="10"/>
        <v>99999999</v>
      </c>
      <c r="BT12">
        <f t="shared" si="10"/>
        <v>99999999</v>
      </c>
      <c r="BU12">
        <f t="shared" si="10"/>
        <v>99999999</v>
      </c>
      <c r="BV12">
        <f t="shared" si="10"/>
        <v>99999999</v>
      </c>
      <c r="BW12">
        <f t="shared" si="10"/>
        <v>99999999</v>
      </c>
      <c r="BX12">
        <f t="shared" si="10"/>
        <v>99999999</v>
      </c>
      <c r="BY12">
        <f t="shared" si="10"/>
        <v>99999999</v>
      </c>
      <c r="BZ12">
        <f t="shared" si="10"/>
        <v>99999999</v>
      </c>
      <c r="CA12">
        <f t="shared" si="10"/>
        <v>99999999</v>
      </c>
      <c r="CB12">
        <f t="shared" si="11"/>
        <v>99999999</v>
      </c>
      <c r="CC12">
        <f t="shared" si="11"/>
        <v>99999999</v>
      </c>
      <c r="CD12">
        <f t="shared" si="11"/>
        <v>99999999</v>
      </c>
      <c r="CE12">
        <f t="shared" si="11"/>
        <v>99999999</v>
      </c>
      <c r="CF12">
        <f t="shared" si="11"/>
        <v>99999999</v>
      </c>
      <c r="CG12">
        <f t="shared" si="11"/>
        <v>99999999</v>
      </c>
      <c r="CH12">
        <f t="shared" si="11"/>
        <v>99999999</v>
      </c>
      <c r="CI12">
        <f t="shared" si="11"/>
        <v>99999999</v>
      </c>
      <c r="CJ12">
        <f t="shared" si="11"/>
        <v>99999999</v>
      </c>
      <c r="CK12">
        <f t="shared" si="11"/>
        <v>99999999</v>
      </c>
      <c r="CL12">
        <f t="shared" si="12"/>
        <v>99999999</v>
      </c>
      <c r="CM12">
        <f t="shared" si="12"/>
        <v>99999999</v>
      </c>
      <c r="CN12">
        <f t="shared" si="12"/>
        <v>99999999</v>
      </c>
      <c r="CO12">
        <f t="shared" si="12"/>
        <v>99999999</v>
      </c>
      <c r="CP12">
        <f t="shared" si="12"/>
        <v>99999999</v>
      </c>
      <c r="CQ12">
        <f t="shared" si="12"/>
        <v>99999999</v>
      </c>
      <c r="CR12">
        <f t="shared" si="12"/>
        <v>99999999</v>
      </c>
      <c r="CS12">
        <f t="shared" si="12"/>
        <v>99999999</v>
      </c>
      <c r="CT12">
        <f t="shared" si="12"/>
        <v>99999999</v>
      </c>
      <c r="CU12">
        <f t="shared" si="12"/>
        <v>99999999</v>
      </c>
      <c r="CV12">
        <f t="shared" si="13"/>
        <v>99999999</v>
      </c>
      <c r="CW12">
        <f t="shared" si="13"/>
        <v>99999999</v>
      </c>
      <c r="CX12">
        <f t="shared" si="13"/>
        <v>99999999</v>
      </c>
      <c r="CY12">
        <f t="shared" si="13"/>
        <v>99999999</v>
      </c>
      <c r="CZ12">
        <f t="shared" si="13"/>
        <v>99999999</v>
      </c>
      <c r="DA12">
        <f t="shared" si="13"/>
        <v>99999999</v>
      </c>
      <c r="DB12">
        <f t="shared" si="13"/>
        <v>99999999</v>
      </c>
      <c r="DC12">
        <f t="shared" si="13"/>
        <v>99999999</v>
      </c>
      <c r="DD12">
        <f t="shared" si="13"/>
        <v>99999999</v>
      </c>
      <c r="DE12">
        <f t="shared" si="13"/>
        <v>99999999</v>
      </c>
      <c r="DF12">
        <f t="shared" si="14"/>
        <v>99999999</v>
      </c>
      <c r="DG12">
        <f t="shared" si="14"/>
        <v>99999999</v>
      </c>
      <c r="DH12">
        <f t="shared" si="14"/>
        <v>99999999</v>
      </c>
      <c r="DI12">
        <f t="shared" si="14"/>
        <v>99999999</v>
      </c>
      <c r="DJ12">
        <f t="shared" si="14"/>
        <v>99999999</v>
      </c>
      <c r="DK12">
        <f t="shared" si="14"/>
        <v>99999999</v>
      </c>
      <c r="DL12">
        <f t="shared" si="14"/>
        <v>99999999</v>
      </c>
      <c r="DM12">
        <f t="shared" si="14"/>
        <v>99999999</v>
      </c>
      <c r="DN12">
        <f t="shared" si="14"/>
        <v>99999999</v>
      </c>
      <c r="DO12">
        <f t="shared" si="14"/>
        <v>99999999</v>
      </c>
      <c r="DP12">
        <f t="shared" si="15"/>
        <v>99999999</v>
      </c>
      <c r="DQ12">
        <f t="shared" si="15"/>
        <v>99999999</v>
      </c>
      <c r="DR12">
        <f t="shared" si="15"/>
        <v>99999999</v>
      </c>
      <c r="DS12">
        <f t="shared" si="15"/>
        <v>99999999</v>
      </c>
      <c r="DT12">
        <f t="shared" si="15"/>
        <v>99999999</v>
      </c>
      <c r="DU12">
        <f t="shared" si="15"/>
        <v>99999999</v>
      </c>
      <c r="DV12">
        <f t="shared" si="15"/>
        <v>99999999</v>
      </c>
      <c r="DW12">
        <f t="shared" si="15"/>
        <v>99999999</v>
      </c>
      <c r="DX12">
        <f t="shared" si="15"/>
        <v>99999999</v>
      </c>
      <c r="DY12">
        <f t="shared" si="15"/>
        <v>99999999</v>
      </c>
      <c r="DZ12">
        <f t="shared" si="16"/>
        <v>99999999</v>
      </c>
      <c r="EA12">
        <f t="shared" si="16"/>
        <v>99999999</v>
      </c>
      <c r="EB12">
        <f t="shared" si="16"/>
        <v>99999999</v>
      </c>
      <c r="EC12">
        <f t="shared" si="16"/>
        <v>99999999</v>
      </c>
      <c r="ED12">
        <f t="shared" si="16"/>
        <v>99999999</v>
      </c>
      <c r="EE12">
        <f t="shared" si="16"/>
        <v>99999999</v>
      </c>
      <c r="EF12">
        <f t="shared" si="16"/>
        <v>99999999</v>
      </c>
      <c r="EG12">
        <f t="shared" si="16"/>
        <v>99999999</v>
      </c>
      <c r="EH12">
        <f t="shared" si="16"/>
        <v>99999999</v>
      </c>
      <c r="EI12">
        <f t="shared" si="16"/>
        <v>99999999</v>
      </c>
      <c r="EJ12">
        <f t="shared" si="17"/>
        <v>99999999</v>
      </c>
      <c r="EK12">
        <f t="shared" si="17"/>
        <v>99999999</v>
      </c>
      <c r="EL12">
        <f t="shared" si="17"/>
        <v>99999999</v>
      </c>
      <c r="EM12">
        <f t="shared" si="17"/>
        <v>99999999</v>
      </c>
      <c r="EN12">
        <f t="shared" si="17"/>
        <v>99999999</v>
      </c>
      <c r="EO12">
        <f t="shared" si="17"/>
        <v>99999999</v>
      </c>
      <c r="EP12">
        <f t="shared" si="17"/>
        <v>99999999</v>
      </c>
      <c r="EQ12">
        <f t="shared" si="17"/>
        <v>99999999</v>
      </c>
      <c r="ER12">
        <f t="shared" si="17"/>
        <v>99999999</v>
      </c>
      <c r="ES12">
        <f t="shared" si="17"/>
        <v>99999999</v>
      </c>
      <c r="ET12">
        <f t="shared" si="18"/>
        <v>99999999</v>
      </c>
      <c r="EU12">
        <f t="shared" si="18"/>
        <v>99999999</v>
      </c>
      <c r="EV12">
        <f t="shared" si="18"/>
        <v>99999999</v>
      </c>
      <c r="EW12">
        <f t="shared" si="18"/>
        <v>99999999</v>
      </c>
      <c r="EX12">
        <f t="shared" si="18"/>
        <v>99999999</v>
      </c>
      <c r="EY12">
        <f t="shared" si="18"/>
        <v>99999999</v>
      </c>
      <c r="EZ12">
        <f t="shared" si="18"/>
        <v>99999999</v>
      </c>
      <c r="FA12">
        <f t="shared" si="18"/>
        <v>99999999</v>
      </c>
      <c r="FB12">
        <f t="shared" si="18"/>
        <v>99999999</v>
      </c>
      <c r="FC12">
        <f t="shared" si="18"/>
        <v>99999999</v>
      </c>
      <c r="FD12">
        <f t="shared" si="19"/>
        <v>99999999</v>
      </c>
      <c r="FE12">
        <f t="shared" si="19"/>
        <v>99999999</v>
      </c>
      <c r="FF12">
        <f t="shared" si="19"/>
        <v>99999999</v>
      </c>
      <c r="FG12">
        <f t="shared" si="19"/>
        <v>99999999</v>
      </c>
      <c r="FH12">
        <f t="shared" si="19"/>
        <v>99999999</v>
      </c>
      <c r="FI12">
        <f t="shared" si="19"/>
        <v>99999999</v>
      </c>
      <c r="FJ12">
        <f t="shared" si="19"/>
        <v>99999999</v>
      </c>
      <c r="FK12">
        <f t="shared" si="19"/>
        <v>99999999</v>
      </c>
      <c r="FL12">
        <f t="shared" si="19"/>
        <v>99999999</v>
      </c>
      <c r="FM12">
        <f t="shared" si="19"/>
        <v>99999999</v>
      </c>
      <c r="FN12">
        <f t="shared" si="20"/>
        <v>99999999</v>
      </c>
      <c r="FO12">
        <f t="shared" si="20"/>
        <v>99999999</v>
      </c>
      <c r="FP12">
        <f t="shared" si="20"/>
        <v>99999999</v>
      </c>
      <c r="FQ12">
        <f t="shared" si="20"/>
        <v>99999999</v>
      </c>
      <c r="FR12">
        <f t="shared" si="20"/>
        <v>99999999</v>
      </c>
      <c r="FS12">
        <f t="shared" si="20"/>
        <v>99999999</v>
      </c>
      <c r="FT12">
        <f t="shared" si="20"/>
        <v>99999999</v>
      </c>
      <c r="FU12">
        <f t="shared" si="20"/>
        <v>99999999</v>
      </c>
      <c r="FV12">
        <f t="shared" si="20"/>
        <v>99999999</v>
      </c>
      <c r="FW12">
        <f t="shared" si="20"/>
        <v>99999999</v>
      </c>
      <c r="FX12">
        <f t="shared" si="21"/>
        <v>99999999</v>
      </c>
      <c r="FY12">
        <f t="shared" si="21"/>
        <v>99999999</v>
      </c>
      <c r="FZ12">
        <f t="shared" si="21"/>
        <v>99999999</v>
      </c>
      <c r="GA12">
        <f t="shared" si="21"/>
        <v>99999999</v>
      </c>
      <c r="GB12">
        <f t="shared" si="21"/>
        <v>99999999</v>
      </c>
      <c r="GC12">
        <f t="shared" si="21"/>
        <v>99999999</v>
      </c>
      <c r="GD12">
        <f t="shared" si="21"/>
        <v>99999999</v>
      </c>
      <c r="GE12">
        <f t="shared" si="21"/>
        <v>99999999</v>
      </c>
      <c r="GF12">
        <f t="shared" si="21"/>
        <v>99999999</v>
      </c>
      <c r="GG12">
        <f t="shared" si="21"/>
        <v>99999999</v>
      </c>
      <c r="GH12">
        <f t="shared" si="22"/>
        <v>99999999</v>
      </c>
      <c r="GI12">
        <f t="shared" si="22"/>
        <v>99999999</v>
      </c>
      <c r="GJ12">
        <f t="shared" si="22"/>
        <v>99999999</v>
      </c>
      <c r="GK12">
        <f t="shared" si="22"/>
        <v>99999999</v>
      </c>
      <c r="GL12">
        <f t="shared" si="22"/>
        <v>99999999</v>
      </c>
      <c r="GM12">
        <f t="shared" si="22"/>
        <v>99999999</v>
      </c>
      <c r="GN12">
        <f t="shared" si="22"/>
        <v>99999999</v>
      </c>
      <c r="GO12">
        <f t="shared" si="22"/>
        <v>99999999</v>
      </c>
      <c r="GP12">
        <f t="shared" si="22"/>
        <v>99999999</v>
      </c>
      <c r="GQ12">
        <f t="shared" si="22"/>
        <v>99999999</v>
      </c>
      <c r="GR12">
        <f t="shared" si="23"/>
        <v>99999999</v>
      </c>
      <c r="GS12">
        <f t="shared" si="23"/>
        <v>99999999</v>
      </c>
      <c r="GT12">
        <f t="shared" si="23"/>
        <v>99999999</v>
      </c>
      <c r="GU12">
        <f t="shared" si="23"/>
        <v>99999999</v>
      </c>
      <c r="GV12">
        <f t="shared" si="23"/>
        <v>99999999</v>
      </c>
      <c r="GW12">
        <f t="shared" si="23"/>
        <v>99999999</v>
      </c>
      <c r="GX12">
        <f t="shared" si="23"/>
        <v>99999999</v>
      </c>
      <c r="GY12">
        <f t="shared" si="23"/>
        <v>99999999</v>
      </c>
      <c r="GZ12">
        <f t="shared" si="23"/>
        <v>99999999</v>
      </c>
      <c r="HA12">
        <f t="shared" si="23"/>
        <v>99999999</v>
      </c>
      <c r="HB12">
        <f t="shared" si="24"/>
        <v>99999999</v>
      </c>
      <c r="HC12">
        <f t="shared" si="24"/>
        <v>99999999</v>
      </c>
      <c r="HD12">
        <f t="shared" si="24"/>
        <v>99999999</v>
      </c>
      <c r="HE12">
        <f t="shared" si="24"/>
        <v>99999999</v>
      </c>
      <c r="HF12">
        <f t="shared" si="24"/>
        <v>99999999</v>
      </c>
      <c r="HG12">
        <f t="shared" si="24"/>
        <v>99999999</v>
      </c>
      <c r="HH12">
        <f t="shared" si="24"/>
        <v>99999999</v>
      </c>
      <c r="HI12">
        <f t="shared" si="24"/>
        <v>99999999</v>
      </c>
      <c r="HJ12">
        <f t="shared" si="24"/>
        <v>99999999</v>
      </c>
      <c r="HK12">
        <f t="shared" si="24"/>
        <v>99999999</v>
      </c>
      <c r="HL12">
        <f t="shared" si="25"/>
        <v>99999999</v>
      </c>
      <c r="HM12">
        <f t="shared" si="25"/>
        <v>99999999</v>
      </c>
      <c r="HN12">
        <f t="shared" si="25"/>
        <v>99999999</v>
      </c>
      <c r="HO12">
        <f t="shared" si="25"/>
        <v>99999999</v>
      </c>
      <c r="HP12">
        <f t="shared" si="25"/>
        <v>99999999</v>
      </c>
      <c r="HQ12">
        <f t="shared" si="25"/>
        <v>99999999</v>
      </c>
      <c r="HR12">
        <f t="shared" si="25"/>
        <v>99999999</v>
      </c>
      <c r="HS12">
        <f t="shared" si="25"/>
        <v>99999999</v>
      </c>
      <c r="HT12">
        <f t="shared" si="25"/>
        <v>99999999</v>
      </c>
      <c r="HU12">
        <f t="shared" si="25"/>
        <v>99999999</v>
      </c>
      <c r="HV12">
        <f t="shared" si="26"/>
        <v>99999999</v>
      </c>
      <c r="HW12">
        <f t="shared" si="26"/>
        <v>99999999</v>
      </c>
      <c r="HX12">
        <f t="shared" si="26"/>
        <v>99999999</v>
      </c>
      <c r="HY12">
        <f t="shared" si="26"/>
        <v>99999999</v>
      </c>
      <c r="HZ12">
        <f t="shared" si="26"/>
        <v>99999999</v>
      </c>
      <c r="IA12">
        <f t="shared" si="26"/>
        <v>99999999</v>
      </c>
      <c r="IB12">
        <f t="shared" si="26"/>
        <v>99999999</v>
      </c>
      <c r="IC12">
        <f t="shared" si="26"/>
        <v>99999999</v>
      </c>
      <c r="ID12">
        <f t="shared" si="26"/>
        <v>99999999</v>
      </c>
      <c r="IE12">
        <f t="shared" si="26"/>
        <v>99999999</v>
      </c>
      <c r="IF12">
        <f t="shared" si="27"/>
        <v>99999999</v>
      </c>
      <c r="IG12">
        <f t="shared" si="27"/>
        <v>99999999</v>
      </c>
      <c r="IH12">
        <f t="shared" si="27"/>
        <v>99999999</v>
      </c>
      <c r="II12">
        <f t="shared" si="27"/>
        <v>99999999</v>
      </c>
      <c r="IJ12">
        <f t="shared" si="27"/>
        <v>99999999</v>
      </c>
      <c r="IK12">
        <f t="shared" si="27"/>
        <v>99999999</v>
      </c>
      <c r="IL12">
        <f t="shared" si="27"/>
        <v>99999999</v>
      </c>
      <c r="IM12">
        <f t="shared" si="27"/>
        <v>99999999</v>
      </c>
      <c r="IN12">
        <f t="shared" si="27"/>
        <v>99999999</v>
      </c>
      <c r="IO12">
        <f t="shared" si="27"/>
        <v>99999999</v>
      </c>
      <c r="IP12">
        <f t="shared" si="28"/>
        <v>99999999</v>
      </c>
      <c r="IQ12">
        <f t="shared" si="28"/>
        <v>99999999</v>
      </c>
      <c r="IR12">
        <f t="shared" si="28"/>
        <v>99999999</v>
      </c>
      <c r="IS12">
        <f t="shared" si="28"/>
        <v>99999999</v>
      </c>
      <c r="IT12">
        <f t="shared" si="28"/>
        <v>99999999</v>
      </c>
      <c r="IU12">
        <f t="shared" si="28"/>
        <v>99999999</v>
      </c>
      <c r="IV12">
        <f t="shared" si="28"/>
        <v>99999999</v>
      </c>
      <c r="IW12">
        <f t="shared" si="28"/>
        <v>99999999</v>
      </c>
      <c r="IX12">
        <f t="shared" si="28"/>
        <v>99999999</v>
      </c>
      <c r="IY12">
        <f t="shared" si="28"/>
        <v>99999999</v>
      </c>
    </row>
    <row r="13" spans="1:259" x14ac:dyDescent="0.3">
      <c r="A13">
        <f>CAMBIOS!A13</f>
        <v>20</v>
      </c>
      <c r="B13">
        <f>IF(D13=1,CAMBIOS!P13*Valor_1+CAMBIOS!Q13*Valor_2+CAMBIOS!R13*Valor_3,IF(CAMBIOS!P13=1,Valor_1,Valor_2))</f>
        <v>7</v>
      </c>
      <c r="C13">
        <f>IF(D13=1,0,IF(CAMBIOS!R13=1,Valor_3,Valor_2))</f>
        <v>0</v>
      </c>
      <c r="D13">
        <f>CAMBIOS!P13+CAMBIOS!Q13+CAMBIOS!R13</f>
        <v>1</v>
      </c>
      <c r="E13">
        <f t="shared" si="0"/>
        <v>99999999</v>
      </c>
      <c r="F13">
        <f t="shared" si="1"/>
        <v>2</v>
      </c>
      <c r="G13">
        <f t="shared" si="2"/>
        <v>0</v>
      </c>
      <c r="H13">
        <f t="shared" si="3"/>
        <v>6</v>
      </c>
      <c r="J13">
        <f t="shared" si="4"/>
        <v>99999999</v>
      </c>
      <c r="K13">
        <f t="shared" si="4"/>
        <v>99999999</v>
      </c>
      <c r="L13">
        <f t="shared" si="4"/>
        <v>99999999</v>
      </c>
      <c r="M13">
        <f t="shared" si="4"/>
        <v>99999999</v>
      </c>
      <c r="N13">
        <f t="shared" si="4"/>
        <v>99999999</v>
      </c>
      <c r="O13">
        <f t="shared" si="4"/>
        <v>99999999</v>
      </c>
      <c r="P13">
        <f t="shared" si="4"/>
        <v>99999999</v>
      </c>
      <c r="Q13">
        <f t="shared" si="4"/>
        <v>99999999</v>
      </c>
      <c r="R13">
        <f t="shared" si="4"/>
        <v>99999999</v>
      </c>
      <c r="S13">
        <f t="shared" si="4"/>
        <v>99999999</v>
      </c>
      <c r="T13">
        <f t="shared" si="5"/>
        <v>99999999</v>
      </c>
      <c r="U13">
        <f t="shared" si="5"/>
        <v>99999999</v>
      </c>
      <c r="V13">
        <f t="shared" si="5"/>
        <v>99999999</v>
      </c>
      <c r="W13">
        <f t="shared" si="5"/>
        <v>99999999</v>
      </c>
      <c r="X13">
        <f t="shared" si="5"/>
        <v>99999999</v>
      </c>
      <c r="Y13">
        <f t="shared" si="5"/>
        <v>99999999</v>
      </c>
      <c r="Z13">
        <f t="shared" si="5"/>
        <v>99999999</v>
      </c>
      <c r="AA13">
        <f t="shared" si="5"/>
        <v>99999999</v>
      </c>
      <c r="AB13">
        <f t="shared" si="5"/>
        <v>99999999</v>
      </c>
      <c r="AC13">
        <f t="shared" si="5"/>
        <v>99999999</v>
      </c>
      <c r="AD13">
        <f t="shared" si="6"/>
        <v>99999999</v>
      </c>
      <c r="AE13">
        <f t="shared" si="6"/>
        <v>99999999</v>
      </c>
      <c r="AF13">
        <f t="shared" si="6"/>
        <v>99999999</v>
      </c>
      <c r="AG13">
        <f t="shared" si="6"/>
        <v>99999999</v>
      </c>
      <c r="AH13">
        <f t="shared" si="6"/>
        <v>99999999</v>
      </c>
      <c r="AI13">
        <f t="shared" si="6"/>
        <v>99999999</v>
      </c>
      <c r="AJ13">
        <f t="shared" si="6"/>
        <v>99999999</v>
      </c>
      <c r="AK13">
        <f t="shared" si="6"/>
        <v>99999999</v>
      </c>
      <c r="AL13">
        <f t="shared" si="6"/>
        <v>99999999</v>
      </c>
      <c r="AM13">
        <f t="shared" si="6"/>
        <v>99999999</v>
      </c>
      <c r="AN13">
        <f t="shared" si="7"/>
        <v>99999999</v>
      </c>
      <c r="AO13">
        <f t="shared" si="7"/>
        <v>99999999</v>
      </c>
      <c r="AP13">
        <f t="shared" si="7"/>
        <v>99999999</v>
      </c>
      <c r="AQ13">
        <f t="shared" si="7"/>
        <v>99999999</v>
      </c>
      <c r="AR13">
        <f t="shared" si="7"/>
        <v>99999999</v>
      </c>
      <c r="AS13">
        <f t="shared" si="7"/>
        <v>99999999</v>
      </c>
      <c r="AT13">
        <f t="shared" si="7"/>
        <v>99999999</v>
      </c>
      <c r="AU13">
        <f t="shared" si="7"/>
        <v>99999999</v>
      </c>
      <c r="AV13">
        <f t="shared" si="7"/>
        <v>99999999</v>
      </c>
      <c r="AW13">
        <f t="shared" si="7"/>
        <v>99999999</v>
      </c>
      <c r="AX13">
        <f t="shared" si="8"/>
        <v>99999999</v>
      </c>
      <c r="AY13">
        <f t="shared" si="8"/>
        <v>99999999</v>
      </c>
      <c r="AZ13">
        <f t="shared" si="8"/>
        <v>99999999</v>
      </c>
      <c r="BA13">
        <f t="shared" si="8"/>
        <v>99999999</v>
      </c>
      <c r="BB13">
        <f t="shared" si="8"/>
        <v>99999999</v>
      </c>
      <c r="BC13">
        <f t="shared" si="8"/>
        <v>99999999</v>
      </c>
      <c r="BD13">
        <f t="shared" si="8"/>
        <v>99999999</v>
      </c>
      <c r="BE13">
        <f t="shared" si="8"/>
        <v>99999999</v>
      </c>
      <c r="BF13">
        <f t="shared" si="8"/>
        <v>99999999</v>
      </c>
      <c r="BG13">
        <f t="shared" si="8"/>
        <v>99999999</v>
      </c>
      <c r="BH13">
        <f t="shared" si="9"/>
        <v>99999999</v>
      </c>
      <c r="BI13">
        <f t="shared" si="9"/>
        <v>99999999</v>
      </c>
      <c r="BJ13">
        <f t="shared" si="9"/>
        <v>99999999</v>
      </c>
      <c r="BK13">
        <f t="shared" si="9"/>
        <v>99999999</v>
      </c>
      <c r="BL13">
        <f t="shared" si="9"/>
        <v>99999999</v>
      </c>
      <c r="BM13">
        <f t="shared" si="9"/>
        <v>99999999</v>
      </c>
      <c r="BN13">
        <f t="shared" si="9"/>
        <v>99999999</v>
      </c>
      <c r="BO13">
        <f t="shared" si="9"/>
        <v>99999999</v>
      </c>
      <c r="BP13">
        <f t="shared" si="9"/>
        <v>99999999</v>
      </c>
      <c r="BQ13">
        <f t="shared" si="9"/>
        <v>99999999</v>
      </c>
      <c r="BR13">
        <f t="shared" si="10"/>
        <v>99999999</v>
      </c>
      <c r="BS13">
        <f t="shared" si="10"/>
        <v>99999999</v>
      </c>
      <c r="BT13">
        <f t="shared" si="10"/>
        <v>99999999</v>
      </c>
      <c r="BU13">
        <f t="shared" si="10"/>
        <v>99999999</v>
      </c>
      <c r="BV13">
        <f t="shared" si="10"/>
        <v>99999999</v>
      </c>
      <c r="BW13">
        <f t="shared" si="10"/>
        <v>99999999</v>
      </c>
      <c r="BX13">
        <f t="shared" si="10"/>
        <v>99999999</v>
      </c>
      <c r="BY13">
        <f t="shared" si="10"/>
        <v>99999999</v>
      </c>
      <c r="BZ13">
        <f t="shared" si="10"/>
        <v>99999999</v>
      </c>
      <c r="CA13">
        <f t="shared" si="10"/>
        <v>99999999</v>
      </c>
      <c r="CB13">
        <f t="shared" si="11"/>
        <v>99999999</v>
      </c>
      <c r="CC13">
        <f t="shared" si="11"/>
        <v>99999999</v>
      </c>
      <c r="CD13">
        <f t="shared" si="11"/>
        <v>99999999</v>
      </c>
      <c r="CE13">
        <f t="shared" si="11"/>
        <v>99999999</v>
      </c>
      <c r="CF13">
        <f t="shared" si="11"/>
        <v>99999999</v>
      </c>
      <c r="CG13">
        <f t="shared" si="11"/>
        <v>99999999</v>
      </c>
      <c r="CH13">
        <f t="shared" si="11"/>
        <v>99999999</v>
      </c>
      <c r="CI13">
        <f t="shared" si="11"/>
        <v>99999999</v>
      </c>
      <c r="CJ13">
        <f t="shared" si="11"/>
        <v>99999999</v>
      </c>
      <c r="CK13">
        <f t="shared" si="11"/>
        <v>99999999</v>
      </c>
      <c r="CL13">
        <f t="shared" si="12"/>
        <v>99999999</v>
      </c>
      <c r="CM13">
        <f t="shared" si="12"/>
        <v>99999999</v>
      </c>
      <c r="CN13">
        <f t="shared" si="12"/>
        <v>99999999</v>
      </c>
      <c r="CO13">
        <f t="shared" si="12"/>
        <v>99999999</v>
      </c>
      <c r="CP13">
        <f t="shared" si="12"/>
        <v>99999999</v>
      </c>
      <c r="CQ13">
        <f t="shared" si="12"/>
        <v>99999999</v>
      </c>
      <c r="CR13">
        <f t="shared" si="12"/>
        <v>99999999</v>
      </c>
      <c r="CS13">
        <f t="shared" si="12"/>
        <v>99999999</v>
      </c>
      <c r="CT13">
        <f t="shared" si="12"/>
        <v>99999999</v>
      </c>
      <c r="CU13">
        <f t="shared" si="12"/>
        <v>99999999</v>
      </c>
      <c r="CV13">
        <f t="shared" si="13"/>
        <v>99999999</v>
      </c>
      <c r="CW13">
        <f t="shared" si="13"/>
        <v>99999999</v>
      </c>
      <c r="CX13">
        <f t="shared" si="13"/>
        <v>99999999</v>
      </c>
      <c r="CY13">
        <f t="shared" si="13"/>
        <v>99999999</v>
      </c>
      <c r="CZ13">
        <f t="shared" si="13"/>
        <v>99999999</v>
      </c>
      <c r="DA13">
        <f t="shared" si="13"/>
        <v>99999999</v>
      </c>
      <c r="DB13">
        <f t="shared" si="13"/>
        <v>99999999</v>
      </c>
      <c r="DC13">
        <f t="shared" si="13"/>
        <v>99999999</v>
      </c>
      <c r="DD13">
        <f t="shared" si="13"/>
        <v>99999999</v>
      </c>
      <c r="DE13">
        <f t="shared" si="13"/>
        <v>99999999</v>
      </c>
      <c r="DF13">
        <f t="shared" si="14"/>
        <v>99999999</v>
      </c>
      <c r="DG13">
        <f t="shared" si="14"/>
        <v>99999999</v>
      </c>
      <c r="DH13">
        <f t="shared" si="14"/>
        <v>99999999</v>
      </c>
      <c r="DI13">
        <f t="shared" si="14"/>
        <v>99999999</v>
      </c>
      <c r="DJ13">
        <f t="shared" si="14"/>
        <v>99999999</v>
      </c>
      <c r="DK13">
        <f t="shared" si="14"/>
        <v>99999999</v>
      </c>
      <c r="DL13">
        <f t="shared" si="14"/>
        <v>99999999</v>
      </c>
      <c r="DM13">
        <f t="shared" si="14"/>
        <v>99999999</v>
      </c>
      <c r="DN13">
        <f t="shared" si="14"/>
        <v>99999999</v>
      </c>
      <c r="DO13">
        <f t="shared" si="14"/>
        <v>99999999</v>
      </c>
      <c r="DP13">
        <f t="shared" si="15"/>
        <v>99999999</v>
      </c>
      <c r="DQ13">
        <f t="shared" si="15"/>
        <v>99999999</v>
      </c>
      <c r="DR13">
        <f t="shared" si="15"/>
        <v>99999999</v>
      </c>
      <c r="DS13">
        <f t="shared" si="15"/>
        <v>99999999</v>
      </c>
      <c r="DT13">
        <f t="shared" si="15"/>
        <v>99999999</v>
      </c>
      <c r="DU13">
        <f t="shared" si="15"/>
        <v>99999999</v>
      </c>
      <c r="DV13">
        <f t="shared" si="15"/>
        <v>99999999</v>
      </c>
      <c r="DW13">
        <f t="shared" si="15"/>
        <v>99999999</v>
      </c>
      <c r="DX13">
        <f t="shared" si="15"/>
        <v>99999999</v>
      </c>
      <c r="DY13">
        <f t="shared" si="15"/>
        <v>99999999</v>
      </c>
      <c r="DZ13">
        <f t="shared" si="16"/>
        <v>99999999</v>
      </c>
      <c r="EA13">
        <f t="shared" si="16"/>
        <v>99999999</v>
      </c>
      <c r="EB13">
        <f t="shared" si="16"/>
        <v>99999999</v>
      </c>
      <c r="EC13">
        <f t="shared" si="16"/>
        <v>99999999</v>
      </c>
      <c r="ED13">
        <f t="shared" si="16"/>
        <v>99999999</v>
      </c>
      <c r="EE13">
        <f t="shared" si="16"/>
        <v>99999999</v>
      </c>
      <c r="EF13">
        <f t="shared" si="16"/>
        <v>99999999</v>
      </c>
      <c r="EG13">
        <f t="shared" si="16"/>
        <v>99999999</v>
      </c>
      <c r="EH13">
        <f t="shared" si="16"/>
        <v>99999999</v>
      </c>
      <c r="EI13">
        <f t="shared" si="16"/>
        <v>99999999</v>
      </c>
      <c r="EJ13">
        <f t="shared" si="17"/>
        <v>99999999</v>
      </c>
      <c r="EK13">
        <f t="shared" si="17"/>
        <v>99999999</v>
      </c>
      <c r="EL13">
        <f t="shared" si="17"/>
        <v>99999999</v>
      </c>
      <c r="EM13">
        <f t="shared" si="17"/>
        <v>99999999</v>
      </c>
      <c r="EN13">
        <f t="shared" si="17"/>
        <v>99999999</v>
      </c>
      <c r="EO13">
        <f t="shared" si="17"/>
        <v>99999999</v>
      </c>
      <c r="EP13">
        <f t="shared" si="17"/>
        <v>99999999</v>
      </c>
      <c r="EQ13">
        <f t="shared" si="17"/>
        <v>99999999</v>
      </c>
      <c r="ER13">
        <f t="shared" si="17"/>
        <v>99999999</v>
      </c>
      <c r="ES13">
        <f t="shared" si="17"/>
        <v>99999999</v>
      </c>
      <c r="ET13">
        <f t="shared" si="18"/>
        <v>99999999</v>
      </c>
      <c r="EU13">
        <f t="shared" si="18"/>
        <v>99999999</v>
      </c>
      <c r="EV13">
        <f t="shared" si="18"/>
        <v>99999999</v>
      </c>
      <c r="EW13">
        <f t="shared" si="18"/>
        <v>99999999</v>
      </c>
      <c r="EX13">
        <f t="shared" si="18"/>
        <v>99999999</v>
      </c>
      <c r="EY13">
        <f t="shared" si="18"/>
        <v>99999999</v>
      </c>
      <c r="EZ13">
        <f t="shared" si="18"/>
        <v>99999999</v>
      </c>
      <c r="FA13">
        <f t="shared" si="18"/>
        <v>99999999</v>
      </c>
      <c r="FB13">
        <f t="shared" si="18"/>
        <v>99999999</v>
      </c>
      <c r="FC13">
        <f t="shared" si="18"/>
        <v>99999999</v>
      </c>
      <c r="FD13">
        <f t="shared" si="19"/>
        <v>99999999</v>
      </c>
      <c r="FE13">
        <f t="shared" si="19"/>
        <v>99999999</v>
      </c>
      <c r="FF13">
        <f t="shared" si="19"/>
        <v>99999999</v>
      </c>
      <c r="FG13">
        <f t="shared" si="19"/>
        <v>99999999</v>
      </c>
      <c r="FH13">
        <f t="shared" si="19"/>
        <v>99999999</v>
      </c>
      <c r="FI13">
        <f t="shared" si="19"/>
        <v>99999999</v>
      </c>
      <c r="FJ13">
        <f t="shared" si="19"/>
        <v>99999999</v>
      </c>
      <c r="FK13">
        <f t="shared" si="19"/>
        <v>99999999</v>
      </c>
      <c r="FL13">
        <f t="shared" si="19"/>
        <v>99999999</v>
      </c>
      <c r="FM13">
        <f t="shared" si="19"/>
        <v>99999999</v>
      </c>
      <c r="FN13">
        <f t="shared" si="20"/>
        <v>99999999</v>
      </c>
      <c r="FO13">
        <f t="shared" si="20"/>
        <v>99999999</v>
      </c>
      <c r="FP13">
        <f t="shared" si="20"/>
        <v>99999999</v>
      </c>
      <c r="FQ13">
        <f t="shared" si="20"/>
        <v>99999999</v>
      </c>
      <c r="FR13">
        <f t="shared" si="20"/>
        <v>99999999</v>
      </c>
      <c r="FS13">
        <f t="shared" si="20"/>
        <v>99999999</v>
      </c>
      <c r="FT13">
        <f t="shared" si="20"/>
        <v>99999999</v>
      </c>
      <c r="FU13">
        <f t="shared" si="20"/>
        <v>99999999</v>
      </c>
      <c r="FV13">
        <f t="shared" si="20"/>
        <v>99999999</v>
      </c>
      <c r="FW13">
        <f t="shared" si="20"/>
        <v>99999999</v>
      </c>
      <c r="FX13">
        <f t="shared" si="21"/>
        <v>99999999</v>
      </c>
      <c r="FY13">
        <f t="shared" si="21"/>
        <v>99999999</v>
      </c>
      <c r="FZ13">
        <f t="shared" si="21"/>
        <v>99999999</v>
      </c>
      <c r="GA13">
        <f t="shared" si="21"/>
        <v>99999999</v>
      </c>
      <c r="GB13">
        <f t="shared" si="21"/>
        <v>99999999</v>
      </c>
      <c r="GC13">
        <f t="shared" si="21"/>
        <v>99999999</v>
      </c>
      <c r="GD13">
        <f t="shared" si="21"/>
        <v>99999999</v>
      </c>
      <c r="GE13">
        <f t="shared" si="21"/>
        <v>99999999</v>
      </c>
      <c r="GF13">
        <f t="shared" si="21"/>
        <v>99999999</v>
      </c>
      <c r="GG13">
        <f t="shared" si="21"/>
        <v>99999999</v>
      </c>
      <c r="GH13">
        <f t="shared" si="22"/>
        <v>99999999</v>
      </c>
      <c r="GI13">
        <f t="shared" si="22"/>
        <v>99999999</v>
      </c>
      <c r="GJ13">
        <f t="shared" si="22"/>
        <v>99999999</v>
      </c>
      <c r="GK13">
        <f t="shared" si="22"/>
        <v>99999999</v>
      </c>
      <c r="GL13">
        <f t="shared" si="22"/>
        <v>99999999</v>
      </c>
      <c r="GM13">
        <f t="shared" si="22"/>
        <v>99999999</v>
      </c>
      <c r="GN13">
        <f t="shared" si="22"/>
        <v>99999999</v>
      </c>
      <c r="GO13">
        <f t="shared" si="22"/>
        <v>99999999</v>
      </c>
      <c r="GP13">
        <f t="shared" si="22"/>
        <v>99999999</v>
      </c>
      <c r="GQ13">
        <f t="shared" si="22"/>
        <v>99999999</v>
      </c>
      <c r="GR13">
        <f t="shared" si="23"/>
        <v>99999999</v>
      </c>
      <c r="GS13">
        <f t="shared" si="23"/>
        <v>99999999</v>
      </c>
      <c r="GT13">
        <f t="shared" si="23"/>
        <v>99999999</v>
      </c>
      <c r="GU13">
        <f t="shared" si="23"/>
        <v>99999999</v>
      </c>
      <c r="GV13">
        <f t="shared" si="23"/>
        <v>99999999</v>
      </c>
      <c r="GW13">
        <f t="shared" si="23"/>
        <v>99999999</v>
      </c>
      <c r="GX13">
        <f t="shared" si="23"/>
        <v>99999999</v>
      </c>
      <c r="GY13">
        <f t="shared" si="23"/>
        <v>99999999</v>
      </c>
      <c r="GZ13">
        <f t="shared" si="23"/>
        <v>99999999</v>
      </c>
      <c r="HA13">
        <f t="shared" si="23"/>
        <v>99999999</v>
      </c>
      <c r="HB13">
        <f t="shared" si="24"/>
        <v>99999999</v>
      </c>
      <c r="HC13">
        <f t="shared" si="24"/>
        <v>99999999</v>
      </c>
      <c r="HD13">
        <f t="shared" si="24"/>
        <v>99999999</v>
      </c>
      <c r="HE13">
        <f t="shared" si="24"/>
        <v>99999999</v>
      </c>
      <c r="HF13">
        <f t="shared" si="24"/>
        <v>99999999</v>
      </c>
      <c r="HG13">
        <f t="shared" si="24"/>
        <v>99999999</v>
      </c>
      <c r="HH13">
        <f t="shared" si="24"/>
        <v>99999999</v>
      </c>
      <c r="HI13">
        <f t="shared" si="24"/>
        <v>99999999</v>
      </c>
      <c r="HJ13">
        <f t="shared" si="24"/>
        <v>99999999</v>
      </c>
      <c r="HK13">
        <f t="shared" si="24"/>
        <v>99999999</v>
      </c>
      <c r="HL13">
        <f t="shared" si="25"/>
        <v>99999999</v>
      </c>
      <c r="HM13">
        <f t="shared" si="25"/>
        <v>99999999</v>
      </c>
      <c r="HN13">
        <f t="shared" si="25"/>
        <v>99999999</v>
      </c>
      <c r="HO13">
        <f t="shared" si="25"/>
        <v>99999999</v>
      </c>
      <c r="HP13">
        <f t="shared" si="25"/>
        <v>99999999</v>
      </c>
      <c r="HQ13">
        <f t="shared" si="25"/>
        <v>99999999</v>
      </c>
      <c r="HR13">
        <f t="shared" si="25"/>
        <v>99999999</v>
      </c>
      <c r="HS13">
        <f t="shared" si="25"/>
        <v>99999999</v>
      </c>
      <c r="HT13">
        <f t="shared" si="25"/>
        <v>99999999</v>
      </c>
      <c r="HU13">
        <f t="shared" si="25"/>
        <v>99999999</v>
      </c>
      <c r="HV13">
        <f t="shared" si="26"/>
        <v>99999999</v>
      </c>
      <c r="HW13">
        <f t="shared" si="26"/>
        <v>99999999</v>
      </c>
      <c r="HX13">
        <f t="shared" si="26"/>
        <v>99999999</v>
      </c>
      <c r="HY13">
        <f t="shared" si="26"/>
        <v>99999999</v>
      </c>
      <c r="HZ13">
        <f t="shared" si="26"/>
        <v>99999999</v>
      </c>
      <c r="IA13">
        <f t="shared" si="26"/>
        <v>99999999</v>
      </c>
      <c r="IB13">
        <f t="shared" si="26"/>
        <v>99999999</v>
      </c>
      <c r="IC13">
        <f t="shared" si="26"/>
        <v>99999999</v>
      </c>
      <c r="ID13">
        <f t="shared" si="26"/>
        <v>99999999</v>
      </c>
      <c r="IE13">
        <f t="shared" si="26"/>
        <v>99999999</v>
      </c>
      <c r="IF13">
        <f t="shared" si="27"/>
        <v>99999999</v>
      </c>
      <c r="IG13">
        <f t="shared" si="27"/>
        <v>99999999</v>
      </c>
      <c r="IH13">
        <f t="shared" si="27"/>
        <v>99999999</v>
      </c>
      <c r="II13">
        <f t="shared" si="27"/>
        <v>99999999</v>
      </c>
      <c r="IJ13">
        <f t="shared" si="27"/>
        <v>99999999</v>
      </c>
      <c r="IK13">
        <f t="shared" si="27"/>
        <v>99999999</v>
      </c>
      <c r="IL13">
        <f t="shared" si="27"/>
        <v>99999999</v>
      </c>
      <c r="IM13">
        <f t="shared" si="27"/>
        <v>99999999</v>
      </c>
      <c r="IN13">
        <f t="shared" si="27"/>
        <v>99999999</v>
      </c>
      <c r="IO13">
        <f t="shared" si="27"/>
        <v>99999999</v>
      </c>
      <c r="IP13">
        <f t="shared" si="28"/>
        <v>99999999</v>
      </c>
      <c r="IQ13">
        <f t="shared" si="28"/>
        <v>99999999</v>
      </c>
      <c r="IR13">
        <f t="shared" si="28"/>
        <v>99999999</v>
      </c>
      <c r="IS13">
        <f t="shared" si="28"/>
        <v>99999999</v>
      </c>
      <c r="IT13">
        <f t="shared" si="28"/>
        <v>99999999</v>
      </c>
      <c r="IU13">
        <f t="shared" si="28"/>
        <v>99999999</v>
      </c>
      <c r="IV13">
        <f t="shared" si="28"/>
        <v>99999999</v>
      </c>
      <c r="IW13">
        <f t="shared" si="28"/>
        <v>99999999</v>
      </c>
      <c r="IX13">
        <f t="shared" si="28"/>
        <v>99999999</v>
      </c>
      <c r="IY13">
        <f t="shared" si="28"/>
        <v>99999999</v>
      </c>
    </row>
    <row r="14" spans="1:259" x14ac:dyDescent="0.3">
      <c r="A14">
        <f>CAMBIOS!A14</f>
        <v>20</v>
      </c>
      <c r="B14">
        <f>IF(D14=1,CAMBIOS!P14*Valor_1+CAMBIOS!Q14*Valor_2+CAMBIOS!R14*Valor_3,IF(CAMBIOS!P14=1,Valor_1,Valor_2))</f>
        <v>3</v>
      </c>
      <c r="C14">
        <f>IF(D14=1,0,IF(CAMBIOS!R14=1,Valor_3,Valor_2))</f>
        <v>5</v>
      </c>
      <c r="D14">
        <f>CAMBIOS!P14+CAMBIOS!Q14+CAMBIOS!R14</f>
        <v>2</v>
      </c>
      <c r="E14">
        <f t="shared" si="0"/>
        <v>9994</v>
      </c>
      <c r="F14">
        <f t="shared" si="1"/>
        <v>5</v>
      </c>
      <c r="G14">
        <f t="shared" si="2"/>
        <v>1</v>
      </c>
      <c r="H14">
        <f t="shared" si="3"/>
        <v>0</v>
      </c>
      <c r="J14">
        <f t="shared" si="4"/>
        <v>209996</v>
      </c>
      <c r="K14">
        <f t="shared" si="4"/>
        <v>409996</v>
      </c>
      <c r="L14">
        <f t="shared" si="4"/>
        <v>109995</v>
      </c>
      <c r="M14">
        <f t="shared" si="4"/>
        <v>309995</v>
      </c>
      <c r="N14">
        <f t="shared" si="4"/>
        <v>9994</v>
      </c>
      <c r="O14">
        <f t="shared" si="4"/>
        <v>99999999</v>
      </c>
      <c r="P14">
        <f t="shared" si="4"/>
        <v>99999999</v>
      </c>
      <c r="Q14">
        <f t="shared" si="4"/>
        <v>99999999</v>
      </c>
      <c r="R14">
        <f t="shared" si="4"/>
        <v>99999999</v>
      </c>
      <c r="S14">
        <f t="shared" si="4"/>
        <v>99999999</v>
      </c>
      <c r="T14">
        <f t="shared" si="5"/>
        <v>99999999</v>
      </c>
      <c r="U14">
        <f t="shared" si="5"/>
        <v>99999999</v>
      </c>
      <c r="V14">
        <f t="shared" si="5"/>
        <v>99999999</v>
      </c>
      <c r="W14">
        <f t="shared" si="5"/>
        <v>99999999</v>
      </c>
      <c r="X14">
        <f t="shared" si="5"/>
        <v>99999999</v>
      </c>
      <c r="Y14">
        <f t="shared" si="5"/>
        <v>99999999</v>
      </c>
      <c r="Z14">
        <f t="shared" si="5"/>
        <v>99999999</v>
      </c>
      <c r="AA14">
        <f t="shared" si="5"/>
        <v>99999999</v>
      </c>
      <c r="AB14">
        <f t="shared" si="5"/>
        <v>99999999</v>
      </c>
      <c r="AC14">
        <f t="shared" si="5"/>
        <v>99999999</v>
      </c>
      <c r="AD14">
        <f t="shared" si="6"/>
        <v>99999999</v>
      </c>
      <c r="AE14">
        <f t="shared" si="6"/>
        <v>99999999</v>
      </c>
      <c r="AF14">
        <f t="shared" si="6"/>
        <v>99999999</v>
      </c>
      <c r="AG14">
        <f t="shared" si="6"/>
        <v>99999999</v>
      </c>
      <c r="AH14">
        <f t="shared" si="6"/>
        <v>99999999</v>
      </c>
      <c r="AI14">
        <f t="shared" si="6"/>
        <v>99999999</v>
      </c>
      <c r="AJ14">
        <f t="shared" si="6"/>
        <v>99999999</v>
      </c>
      <c r="AK14">
        <f t="shared" si="6"/>
        <v>99999999</v>
      </c>
      <c r="AL14">
        <f t="shared" si="6"/>
        <v>99999999</v>
      </c>
      <c r="AM14">
        <f t="shared" si="6"/>
        <v>99999999</v>
      </c>
      <c r="AN14">
        <f t="shared" si="7"/>
        <v>99999999</v>
      </c>
      <c r="AO14">
        <f t="shared" si="7"/>
        <v>99999999</v>
      </c>
      <c r="AP14">
        <f t="shared" si="7"/>
        <v>99999999</v>
      </c>
      <c r="AQ14">
        <f t="shared" si="7"/>
        <v>99999999</v>
      </c>
      <c r="AR14">
        <f t="shared" si="7"/>
        <v>99999999</v>
      </c>
      <c r="AS14">
        <f t="shared" si="7"/>
        <v>99999999</v>
      </c>
      <c r="AT14">
        <f t="shared" si="7"/>
        <v>99999999</v>
      </c>
      <c r="AU14">
        <f t="shared" si="7"/>
        <v>99999999</v>
      </c>
      <c r="AV14">
        <f t="shared" si="7"/>
        <v>99999999</v>
      </c>
      <c r="AW14">
        <f t="shared" si="7"/>
        <v>99999999</v>
      </c>
      <c r="AX14">
        <f t="shared" si="8"/>
        <v>99999999</v>
      </c>
      <c r="AY14">
        <f t="shared" si="8"/>
        <v>99999999</v>
      </c>
      <c r="AZ14">
        <f t="shared" si="8"/>
        <v>99999999</v>
      </c>
      <c r="BA14">
        <f t="shared" si="8"/>
        <v>99999999</v>
      </c>
      <c r="BB14">
        <f t="shared" si="8"/>
        <v>99999999</v>
      </c>
      <c r="BC14">
        <f t="shared" si="8"/>
        <v>99999999</v>
      </c>
      <c r="BD14">
        <f t="shared" si="8"/>
        <v>99999999</v>
      </c>
      <c r="BE14">
        <f t="shared" si="8"/>
        <v>99999999</v>
      </c>
      <c r="BF14">
        <f t="shared" si="8"/>
        <v>99999999</v>
      </c>
      <c r="BG14">
        <f t="shared" si="8"/>
        <v>99999999</v>
      </c>
      <c r="BH14">
        <f t="shared" si="9"/>
        <v>99999999</v>
      </c>
      <c r="BI14">
        <f t="shared" si="9"/>
        <v>99999999</v>
      </c>
      <c r="BJ14">
        <f t="shared" si="9"/>
        <v>99999999</v>
      </c>
      <c r="BK14">
        <f t="shared" si="9"/>
        <v>99999999</v>
      </c>
      <c r="BL14">
        <f t="shared" si="9"/>
        <v>99999999</v>
      </c>
      <c r="BM14">
        <f t="shared" si="9"/>
        <v>99999999</v>
      </c>
      <c r="BN14">
        <f t="shared" si="9"/>
        <v>99999999</v>
      </c>
      <c r="BO14">
        <f t="shared" si="9"/>
        <v>99999999</v>
      </c>
      <c r="BP14">
        <f t="shared" si="9"/>
        <v>99999999</v>
      </c>
      <c r="BQ14">
        <f t="shared" si="9"/>
        <v>99999999</v>
      </c>
      <c r="BR14">
        <f t="shared" si="10"/>
        <v>99999999</v>
      </c>
      <c r="BS14">
        <f t="shared" si="10"/>
        <v>99999999</v>
      </c>
      <c r="BT14">
        <f t="shared" si="10"/>
        <v>99999999</v>
      </c>
      <c r="BU14">
        <f t="shared" si="10"/>
        <v>99999999</v>
      </c>
      <c r="BV14">
        <f t="shared" si="10"/>
        <v>99999999</v>
      </c>
      <c r="BW14">
        <f t="shared" si="10"/>
        <v>99999999</v>
      </c>
      <c r="BX14">
        <f t="shared" si="10"/>
        <v>99999999</v>
      </c>
      <c r="BY14">
        <f t="shared" si="10"/>
        <v>99999999</v>
      </c>
      <c r="BZ14">
        <f t="shared" si="10"/>
        <v>99999999</v>
      </c>
      <c r="CA14">
        <f t="shared" si="10"/>
        <v>99999999</v>
      </c>
      <c r="CB14">
        <f t="shared" si="11"/>
        <v>99999999</v>
      </c>
      <c r="CC14">
        <f t="shared" si="11"/>
        <v>99999999</v>
      </c>
      <c r="CD14">
        <f t="shared" si="11"/>
        <v>99999999</v>
      </c>
      <c r="CE14">
        <f t="shared" si="11"/>
        <v>99999999</v>
      </c>
      <c r="CF14">
        <f t="shared" si="11"/>
        <v>99999999</v>
      </c>
      <c r="CG14">
        <f t="shared" si="11"/>
        <v>99999999</v>
      </c>
      <c r="CH14">
        <f t="shared" si="11"/>
        <v>99999999</v>
      </c>
      <c r="CI14">
        <f t="shared" si="11"/>
        <v>99999999</v>
      </c>
      <c r="CJ14">
        <f t="shared" si="11"/>
        <v>99999999</v>
      </c>
      <c r="CK14">
        <f t="shared" si="11"/>
        <v>99999999</v>
      </c>
      <c r="CL14">
        <f t="shared" si="12"/>
        <v>99999999</v>
      </c>
      <c r="CM14">
        <f t="shared" si="12"/>
        <v>99999999</v>
      </c>
      <c r="CN14">
        <f t="shared" si="12"/>
        <v>99999999</v>
      </c>
      <c r="CO14">
        <f t="shared" si="12"/>
        <v>99999999</v>
      </c>
      <c r="CP14">
        <f t="shared" si="12"/>
        <v>99999999</v>
      </c>
      <c r="CQ14">
        <f t="shared" si="12"/>
        <v>99999999</v>
      </c>
      <c r="CR14">
        <f t="shared" si="12"/>
        <v>99999999</v>
      </c>
      <c r="CS14">
        <f t="shared" si="12"/>
        <v>99999999</v>
      </c>
      <c r="CT14">
        <f t="shared" si="12"/>
        <v>99999999</v>
      </c>
      <c r="CU14">
        <f t="shared" si="12"/>
        <v>99999999</v>
      </c>
      <c r="CV14">
        <f t="shared" si="13"/>
        <v>99999999</v>
      </c>
      <c r="CW14">
        <f t="shared" si="13"/>
        <v>99999999</v>
      </c>
      <c r="CX14">
        <f t="shared" si="13"/>
        <v>99999999</v>
      </c>
      <c r="CY14">
        <f t="shared" si="13"/>
        <v>99999999</v>
      </c>
      <c r="CZ14">
        <f t="shared" si="13"/>
        <v>99999999</v>
      </c>
      <c r="DA14">
        <f t="shared" si="13"/>
        <v>99999999</v>
      </c>
      <c r="DB14">
        <f t="shared" si="13"/>
        <v>99999999</v>
      </c>
      <c r="DC14">
        <f t="shared" si="13"/>
        <v>99999999</v>
      </c>
      <c r="DD14">
        <f t="shared" si="13"/>
        <v>99999999</v>
      </c>
      <c r="DE14">
        <f t="shared" si="13"/>
        <v>99999999</v>
      </c>
      <c r="DF14">
        <f t="shared" si="14"/>
        <v>99999999</v>
      </c>
      <c r="DG14">
        <f t="shared" si="14"/>
        <v>99999999</v>
      </c>
      <c r="DH14">
        <f t="shared" si="14"/>
        <v>99999999</v>
      </c>
      <c r="DI14">
        <f t="shared" si="14"/>
        <v>99999999</v>
      </c>
      <c r="DJ14">
        <f t="shared" si="14"/>
        <v>99999999</v>
      </c>
      <c r="DK14">
        <f t="shared" si="14"/>
        <v>99999999</v>
      </c>
      <c r="DL14">
        <f t="shared" si="14"/>
        <v>99999999</v>
      </c>
      <c r="DM14">
        <f t="shared" si="14"/>
        <v>99999999</v>
      </c>
      <c r="DN14">
        <f t="shared" si="14"/>
        <v>99999999</v>
      </c>
      <c r="DO14">
        <f t="shared" si="14"/>
        <v>99999999</v>
      </c>
      <c r="DP14">
        <f t="shared" si="15"/>
        <v>99999999</v>
      </c>
      <c r="DQ14">
        <f t="shared" si="15"/>
        <v>99999999</v>
      </c>
      <c r="DR14">
        <f t="shared" si="15"/>
        <v>99999999</v>
      </c>
      <c r="DS14">
        <f t="shared" si="15"/>
        <v>99999999</v>
      </c>
      <c r="DT14">
        <f t="shared" si="15"/>
        <v>99999999</v>
      </c>
      <c r="DU14">
        <f t="shared" si="15"/>
        <v>99999999</v>
      </c>
      <c r="DV14">
        <f t="shared" si="15"/>
        <v>99999999</v>
      </c>
      <c r="DW14">
        <f t="shared" si="15"/>
        <v>99999999</v>
      </c>
      <c r="DX14">
        <f t="shared" si="15"/>
        <v>99999999</v>
      </c>
      <c r="DY14">
        <f t="shared" si="15"/>
        <v>99999999</v>
      </c>
      <c r="DZ14">
        <f t="shared" si="16"/>
        <v>99999999</v>
      </c>
      <c r="EA14">
        <f t="shared" si="16"/>
        <v>99999999</v>
      </c>
      <c r="EB14">
        <f t="shared" si="16"/>
        <v>99999999</v>
      </c>
      <c r="EC14">
        <f t="shared" si="16"/>
        <v>99999999</v>
      </c>
      <c r="ED14">
        <f t="shared" si="16"/>
        <v>99999999</v>
      </c>
      <c r="EE14">
        <f t="shared" si="16"/>
        <v>99999999</v>
      </c>
      <c r="EF14">
        <f t="shared" si="16"/>
        <v>99999999</v>
      </c>
      <c r="EG14">
        <f t="shared" si="16"/>
        <v>99999999</v>
      </c>
      <c r="EH14">
        <f t="shared" si="16"/>
        <v>99999999</v>
      </c>
      <c r="EI14">
        <f t="shared" si="16"/>
        <v>99999999</v>
      </c>
      <c r="EJ14">
        <f t="shared" si="17"/>
        <v>99999999</v>
      </c>
      <c r="EK14">
        <f t="shared" si="17"/>
        <v>99999999</v>
      </c>
      <c r="EL14">
        <f t="shared" si="17"/>
        <v>99999999</v>
      </c>
      <c r="EM14">
        <f t="shared" si="17"/>
        <v>99999999</v>
      </c>
      <c r="EN14">
        <f t="shared" si="17"/>
        <v>99999999</v>
      </c>
      <c r="EO14">
        <f t="shared" si="17"/>
        <v>99999999</v>
      </c>
      <c r="EP14">
        <f t="shared" si="17"/>
        <v>99999999</v>
      </c>
      <c r="EQ14">
        <f t="shared" si="17"/>
        <v>99999999</v>
      </c>
      <c r="ER14">
        <f t="shared" si="17"/>
        <v>99999999</v>
      </c>
      <c r="ES14">
        <f t="shared" si="17"/>
        <v>99999999</v>
      </c>
      <c r="ET14">
        <f t="shared" si="18"/>
        <v>99999999</v>
      </c>
      <c r="EU14">
        <f t="shared" si="18"/>
        <v>99999999</v>
      </c>
      <c r="EV14">
        <f t="shared" si="18"/>
        <v>99999999</v>
      </c>
      <c r="EW14">
        <f t="shared" si="18"/>
        <v>99999999</v>
      </c>
      <c r="EX14">
        <f t="shared" si="18"/>
        <v>99999999</v>
      </c>
      <c r="EY14">
        <f t="shared" si="18"/>
        <v>99999999</v>
      </c>
      <c r="EZ14">
        <f t="shared" si="18"/>
        <v>99999999</v>
      </c>
      <c r="FA14">
        <f t="shared" si="18"/>
        <v>99999999</v>
      </c>
      <c r="FB14">
        <f t="shared" si="18"/>
        <v>99999999</v>
      </c>
      <c r="FC14">
        <f t="shared" si="18"/>
        <v>99999999</v>
      </c>
      <c r="FD14">
        <f t="shared" si="19"/>
        <v>99999999</v>
      </c>
      <c r="FE14">
        <f t="shared" si="19"/>
        <v>99999999</v>
      </c>
      <c r="FF14">
        <f t="shared" si="19"/>
        <v>99999999</v>
      </c>
      <c r="FG14">
        <f t="shared" si="19"/>
        <v>99999999</v>
      </c>
      <c r="FH14">
        <f t="shared" si="19"/>
        <v>99999999</v>
      </c>
      <c r="FI14">
        <f t="shared" si="19"/>
        <v>99999999</v>
      </c>
      <c r="FJ14">
        <f t="shared" si="19"/>
        <v>99999999</v>
      </c>
      <c r="FK14">
        <f t="shared" si="19"/>
        <v>99999999</v>
      </c>
      <c r="FL14">
        <f t="shared" si="19"/>
        <v>99999999</v>
      </c>
      <c r="FM14">
        <f t="shared" si="19"/>
        <v>99999999</v>
      </c>
      <c r="FN14">
        <f t="shared" si="20"/>
        <v>99999999</v>
      </c>
      <c r="FO14">
        <f t="shared" si="20"/>
        <v>99999999</v>
      </c>
      <c r="FP14">
        <f t="shared" si="20"/>
        <v>99999999</v>
      </c>
      <c r="FQ14">
        <f t="shared" si="20"/>
        <v>99999999</v>
      </c>
      <c r="FR14">
        <f t="shared" si="20"/>
        <v>99999999</v>
      </c>
      <c r="FS14">
        <f t="shared" si="20"/>
        <v>99999999</v>
      </c>
      <c r="FT14">
        <f t="shared" si="20"/>
        <v>99999999</v>
      </c>
      <c r="FU14">
        <f t="shared" si="20"/>
        <v>99999999</v>
      </c>
      <c r="FV14">
        <f t="shared" si="20"/>
        <v>99999999</v>
      </c>
      <c r="FW14">
        <f t="shared" si="20"/>
        <v>99999999</v>
      </c>
      <c r="FX14">
        <f t="shared" si="21"/>
        <v>99999999</v>
      </c>
      <c r="FY14">
        <f t="shared" si="21"/>
        <v>99999999</v>
      </c>
      <c r="FZ14">
        <f t="shared" si="21"/>
        <v>99999999</v>
      </c>
      <c r="GA14">
        <f t="shared" si="21"/>
        <v>99999999</v>
      </c>
      <c r="GB14">
        <f t="shared" si="21"/>
        <v>99999999</v>
      </c>
      <c r="GC14">
        <f t="shared" si="21"/>
        <v>99999999</v>
      </c>
      <c r="GD14">
        <f t="shared" si="21"/>
        <v>99999999</v>
      </c>
      <c r="GE14">
        <f t="shared" si="21"/>
        <v>99999999</v>
      </c>
      <c r="GF14">
        <f t="shared" si="21"/>
        <v>99999999</v>
      </c>
      <c r="GG14">
        <f t="shared" si="21"/>
        <v>99999999</v>
      </c>
      <c r="GH14">
        <f t="shared" si="22"/>
        <v>99999999</v>
      </c>
      <c r="GI14">
        <f t="shared" si="22"/>
        <v>99999999</v>
      </c>
      <c r="GJ14">
        <f t="shared" si="22"/>
        <v>99999999</v>
      </c>
      <c r="GK14">
        <f t="shared" si="22"/>
        <v>99999999</v>
      </c>
      <c r="GL14">
        <f t="shared" si="22"/>
        <v>99999999</v>
      </c>
      <c r="GM14">
        <f t="shared" si="22"/>
        <v>99999999</v>
      </c>
      <c r="GN14">
        <f t="shared" si="22"/>
        <v>99999999</v>
      </c>
      <c r="GO14">
        <f t="shared" si="22"/>
        <v>99999999</v>
      </c>
      <c r="GP14">
        <f t="shared" si="22"/>
        <v>99999999</v>
      </c>
      <c r="GQ14">
        <f t="shared" si="22"/>
        <v>99999999</v>
      </c>
      <c r="GR14">
        <f t="shared" si="23"/>
        <v>99999999</v>
      </c>
      <c r="GS14">
        <f t="shared" si="23"/>
        <v>99999999</v>
      </c>
      <c r="GT14">
        <f t="shared" si="23"/>
        <v>99999999</v>
      </c>
      <c r="GU14">
        <f t="shared" si="23"/>
        <v>99999999</v>
      </c>
      <c r="GV14">
        <f t="shared" si="23"/>
        <v>99999999</v>
      </c>
      <c r="GW14">
        <f t="shared" si="23"/>
        <v>99999999</v>
      </c>
      <c r="GX14">
        <f t="shared" si="23"/>
        <v>99999999</v>
      </c>
      <c r="GY14">
        <f t="shared" si="23"/>
        <v>99999999</v>
      </c>
      <c r="GZ14">
        <f t="shared" si="23"/>
        <v>99999999</v>
      </c>
      <c r="HA14">
        <f t="shared" si="23"/>
        <v>99999999</v>
      </c>
      <c r="HB14">
        <f t="shared" si="24"/>
        <v>99999999</v>
      </c>
      <c r="HC14">
        <f t="shared" si="24"/>
        <v>99999999</v>
      </c>
      <c r="HD14">
        <f t="shared" si="24"/>
        <v>99999999</v>
      </c>
      <c r="HE14">
        <f t="shared" si="24"/>
        <v>99999999</v>
      </c>
      <c r="HF14">
        <f t="shared" si="24"/>
        <v>99999999</v>
      </c>
      <c r="HG14">
        <f t="shared" si="24"/>
        <v>99999999</v>
      </c>
      <c r="HH14">
        <f t="shared" si="24"/>
        <v>99999999</v>
      </c>
      <c r="HI14">
        <f t="shared" si="24"/>
        <v>99999999</v>
      </c>
      <c r="HJ14">
        <f t="shared" si="24"/>
        <v>99999999</v>
      </c>
      <c r="HK14">
        <f t="shared" si="24"/>
        <v>99999999</v>
      </c>
      <c r="HL14">
        <f t="shared" si="25"/>
        <v>99999999</v>
      </c>
      <c r="HM14">
        <f t="shared" si="25"/>
        <v>99999999</v>
      </c>
      <c r="HN14">
        <f t="shared" si="25"/>
        <v>99999999</v>
      </c>
      <c r="HO14">
        <f t="shared" si="25"/>
        <v>99999999</v>
      </c>
      <c r="HP14">
        <f t="shared" si="25"/>
        <v>99999999</v>
      </c>
      <c r="HQ14">
        <f t="shared" si="25"/>
        <v>99999999</v>
      </c>
      <c r="HR14">
        <f t="shared" si="25"/>
        <v>99999999</v>
      </c>
      <c r="HS14">
        <f t="shared" si="25"/>
        <v>99999999</v>
      </c>
      <c r="HT14">
        <f t="shared" si="25"/>
        <v>99999999</v>
      </c>
      <c r="HU14">
        <f t="shared" si="25"/>
        <v>99999999</v>
      </c>
      <c r="HV14">
        <f t="shared" si="26"/>
        <v>99999999</v>
      </c>
      <c r="HW14">
        <f t="shared" si="26"/>
        <v>99999999</v>
      </c>
      <c r="HX14">
        <f t="shared" si="26"/>
        <v>99999999</v>
      </c>
      <c r="HY14">
        <f t="shared" si="26"/>
        <v>99999999</v>
      </c>
      <c r="HZ14">
        <f t="shared" si="26"/>
        <v>99999999</v>
      </c>
      <c r="IA14">
        <f t="shared" si="26"/>
        <v>99999999</v>
      </c>
      <c r="IB14">
        <f t="shared" si="26"/>
        <v>99999999</v>
      </c>
      <c r="IC14">
        <f t="shared" si="26"/>
        <v>99999999</v>
      </c>
      <c r="ID14">
        <f t="shared" si="26"/>
        <v>99999999</v>
      </c>
      <c r="IE14">
        <f t="shared" si="26"/>
        <v>99999999</v>
      </c>
      <c r="IF14">
        <f t="shared" si="27"/>
        <v>99999999</v>
      </c>
      <c r="IG14">
        <f t="shared" si="27"/>
        <v>99999999</v>
      </c>
      <c r="IH14">
        <f t="shared" si="27"/>
        <v>99999999</v>
      </c>
      <c r="II14">
        <f t="shared" si="27"/>
        <v>99999999</v>
      </c>
      <c r="IJ14">
        <f t="shared" si="27"/>
        <v>99999999</v>
      </c>
      <c r="IK14">
        <f t="shared" si="27"/>
        <v>99999999</v>
      </c>
      <c r="IL14">
        <f t="shared" si="27"/>
        <v>99999999</v>
      </c>
      <c r="IM14">
        <f t="shared" si="27"/>
        <v>99999999</v>
      </c>
      <c r="IN14">
        <f t="shared" si="27"/>
        <v>99999999</v>
      </c>
      <c r="IO14">
        <f t="shared" si="27"/>
        <v>99999999</v>
      </c>
      <c r="IP14">
        <f t="shared" si="28"/>
        <v>99999999</v>
      </c>
      <c r="IQ14">
        <f t="shared" si="28"/>
        <v>99999999</v>
      </c>
      <c r="IR14">
        <f t="shared" si="28"/>
        <v>99999999</v>
      </c>
      <c r="IS14">
        <f t="shared" si="28"/>
        <v>99999999</v>
      </c>
      <c r="IT14">
        <f t="shared" si="28"/>
        <v>99999999</v>
      </c>
      <c r="IU14">
        <f t="shared" si="28"/>
        <v>99999999</v>
      </c>
      <c r="IV14">
        <f t="shared" si="28"/>
        <v>99999999</v>
      </c>
      <c r="IW14">
        <f t="shared" si="28"/>
        <v>99999999</v>
      </c>
      <c r="IX14">
        <f t="shared" si="28"/>
        <v>99999999</v>
      </c>
      <c r="IY14">
        <f t="shared" si="28"/>
        <v>99999999</v>
      </c>
    </row>
    <row r="15" spans="1:259" x14ac:dyDescent="0.3">
      <c r="A15">
        <f>CAMBIOS!A15</f>
        <v>20</v>
      </c>
      <c r="B15">
        <f>IF(D15=1,CAMBIOS!P15*Valor_1+CAMBIOS!Q15*Valor_2+CAMBIOS!R15*Valor_3,IF(CAMBIOS!P15=1,Valor_1,Valor_2))</f>
        <v>3</v>
      </c>
      <c r="C15">
        <f>IF(D15=1,0,IF(CAMBIOS!R15=1,Valor_3,Valor_2))</f>
        <v>7</v>
      </c>
      <c r="D15">
        <f>CAMBIOS!P15+CAMBIOS!Q15+CAMBIOS!R15</f>
        <v>2</v>
      </c>
      <c r="E15">
        <f t="shared" si="0"/>
        <v>9996</v>
      </c>
      <c r="F15">
        <f t="shared" si="1"/>
        <v>2</v>
      </c>
      <c r="G15">
        <f t="shared" si="2"/>
        <v>2</v>
      </c>
      <c r="H15">
        <f t="shared" si="3"/>
        <v>0</v>
      </c>
      <c r="J15">
        <f t="shared" ref="J15:S24" si="29">IF(OR($D15&lt;&gt;2,J$4*$B15+$C15&gt;$A15),99999999,(($A15-J$4*$B15)-INT(($A15-J$4*$B15)/$C15)*$C15)*100000+10000-J$4-INT(($A15-J$4*$B15)/$C15))</f>
        <v>309997</v>
      </c>
      <c r="K15">
        <f t="shared" si="29"/>
        <v>9996</v>
      </c>
      <c r="L15">
        <f t="shared" si="29"/>
        <v>409996</v>
      </c>
      <c r="M15">
        <f t="shared" si="29"/>
        <v>109995</v>
      </c>
      <c r="N15">
        <f t="shared" si="29"/>
        <v>99999999</v>
      </c>
      <c r="O15">
        <f t="shared" si="29"/>
        <v>99999999</v>
      </c>
      <c r="P15">
        <f t="shared" si="29"/>
        <v>99999999</v>
      </c>
      <c r="Q15">
        <f t="shared" si="29"/>
        <v>99999999</v>
      </c>
      <c r="R15">
        <f t="shared" si="29"/>
        <v>99999999</v>
      </c>
      <c r="S15">
        <f t="shared" si="29"/>
        <v>99999999</v>
      </c>
      <c r="T15">
        <f t="shared" ref="T15:AC24" si="30">IF(OR($D15&lt;&gt;2,T$4*$B15+$C15&gt;$A15),99999999,(($A15-T$4*$B15)-INT(($A15-T$4*$B15)/$C15)*$C15)*100000+10000-T$4-INT(($A15-T$4*$B15)/$C15))</f>
        <v>99999999</v>
      </c>
      <c r="U15">
        <f t="shared" si="30"/>
        <v>99999999</v>
      </c>
      <c r="V15">
        <f t="shared" si="30"/>
        <v>99999999</v>
      </c>
      <c r="W15">
        <f t="shared" si="30"/>
        <v>99999999</v>
      </c>
      <c r="X15">
        <f t="shared" si="30"/>
        <v>99999999</v>
      </c>
      <c r="Y15">
        <f t="shared" si="30"/>
        <v>99999999</v>
      </c>
      <c r="Z15">
        <f t="shared" si="30"/>
        <v>99999999</v>
      </c>
      <c r="AA15">
        <f t="shared" si="30"/>
        <v>99999999</v>
      </c>
      <c r="AB15">
        <f t="shared" si="30"/>
        <v>99999999</v>
      </c>
      <c r="AC15">
        <f t="shared" si="30"/>
        <v>99999999</v>
      </c>
      <c r="AD15">
        <f t="shared" ref="AD15:AM24" si="31">IF(OR($D15&lt;&gt;2,AD$4*$B15+$C15&gt;$A15),99999999,(($A15-AD$4*$B15)-INT(($A15-AD$4*$B15)/$C15)*$C15)*100000+10000-AD$4-INT(($A15-AD$4*$B15)/$C15))</f>
        <v>99999999</v>
      </c>
      <c r="AE15">
        <f t="shared" si="31"/>
        <v>99999999</v>
      </c>
      <c r="AF15">
        <f t="shared" si="31"/>
        <v>99999999</v>
      </c>
      <c r="AG15">
        <f t="shared" si="31"/>
        <v>99999999</v>
      </c>
      <c r="AH15">
        <f t="shared" si="31"/>
        <v>99999999</v>
      </c>
      <c r="AI15">
        <f t="shared" si="31"/>
        <v>99999999</v>
      </c>
      <c r="AJ15">
        <f t="shared" si="31"/>
        <v>99999999</v>
      </c>
      <c r="AK15">
        <f t="shared" si="31"/>
        <v>99999999</v>
      </c>
      <c r="AL15">
        <f t="shared" si="31"/>
        <v>99999999</v>
      </c>
      <c r="AM15">
        <f t="shared" si="31"/>
        <v>99999999</v>
      </c>
      <c r="AN15">
        <f t="shared" ref="AN15:AW24" si="32">IF(OR($D15&lt;&gt;2,AN$4*$B15+$C15&gt;$A15),99999999,(($A15-AN$4*$B15)-INT(($A15-AN$4*$B15)/$C15)*$C15)*100000+10000-AN$4-INT(($A15-AN$4*$B15)/$C15))</f>
        <v>99999999</v>
      </c>
      <c r="AO15">
        <f t="shared" si="32"/>
        <v>99999999</v>
      </c>
      <c r="AP15">
        <f t="shared" si="32"/>
        <v>99999999</v>
      </c>
      <c r="AQ15">
        <f t="shared" si="32"/>
        <v>99999999</v>
      </c>
      <c r="AR15">
        <f t="shared" si="32"/>
        <v>99999999</v>
      </c>
      <c r="AS15">
        <f t="shared" si="32"/>
        <v>99999999</v>
      </c>
      <c r="AT15">
        <f t="shared" si="32"/>
        <v>99999999</v>
      </c>
      <c r="AU15">
        <f t="shared" si="32"/>
        <v>99999999</v>
      </c>
      <c r="AV15">
        <f t="shared" si="32"/>
        <v>99999999</v>
      </c>
      <c r="AW15">
        <f t="shared" si="32"/>
        <v>99999999</v>
      </c>
      <c r="AX15">
        <f t="shared" ref="AX15:BG24" si="33">IF(OR($D15&lt;&gt;2,AX$4*$B15+$C15&gt;$A15),99999999,(($A15-AX$4*$B15)-INT(($A15-AX$4*$B15)/$C15)*$C15)*100000+10000-AX$4-INT(($A15-AX$4*$B15)/$C15))</f>
        <v>99999999</v>
      </c>
      <c r="AY15">
        <f t="shared" si="33"/>
        <v>99999999</v>
      </c>
      <c r="AZ15">
        <f t="shared" si="33"/>
        <v>99999999</v>
      </c>
      <c r="BA15">
        <f t="shared" si="33"/>
        <v>99999999</v>
      </c>
      <c r="BB15">
        <f t="shared" si="33"/>
        <v>99999999</v>
      </c>
      <c r="BC15">
        <f t="shared" si="33"/>
        <v>99999999</v>
      </c>
      <c r="BD15">
        <f t="shared" si="33"/>
        <v>99999999</v>
      </c>
      <c r="BE15">
        <f t="shared" si="33"/>
        <v>99999999</v>
      </c>
      <c r="BF15">
        <f t="shared" si="33"/>
        <v>99999999</v>
      </c>
      <c r="BG15">
        <f t="shared" si="33"/>
        <v>99999999</v>
      </c>
      <c r="BH15">
        <f t="shared" ref="BH15:BQ24" si="34">IF(OR($D15&lt;&gt;2,BH$4*$B15+$C15&gt;$A15),99999999,(($A15-BH$4*$B15)-INT(($A15-BH$4*$B15)/$C15)*$C15)*100000+10000-BH$4-INT(($A15-BH$4*$B15)/$C15))</f>
        <v>99999999</v>
      </c>
      <c r="BI15">
        <f t="shared" si="34"/>
        <v>99999999</v>
      </c>
      <c r="BJ15">
        <f t="shared" si="34"/>
        <v>99999999</v>
      </c>
      <c r="BK15">
        <f t="shared" si="34"/>
        <v>99999999</v>
      </c>
      <c r="BL15">
        <f t="shared" si="34"/>
        <v>99999999</v>
      </c>
      <c r="BM15">
        <f t="shared" si="34"/>
        <v>99999999</v>
      </c>
      <c r="BN15">
        <f t="shared" si="34"/>
        <v>99999999</v>
      </c>
      <c r="BO15">
        <f t="shared" si="34"/>
        <v>99999999</v>
      </c>
      <c r="BP15">
        <f t="shared" si="34"/>
        <v>99999999</v>
      </c>
      <c r="BQ15">
        <f t="shared" si="34"/>
        <v>99999999</v>
      </c>
      <c r="BR15">
        <f t="shared" ref="BR15:CA24" si="35">IF(OR($D15&lt;&gt;2,BR$4*$B15+$C15&gt;$A15),99999999,(($A15-BR$4*$B15)-INT(($A15-BR$4*$B15)/$C15)*$C15)*100000+10000-BR$4-INT(($A15-BR$4*$B15)/$C15))</f>
        <v>99999999</v>
      </c>
      <c r="BS15">
        <f t="shared" si="35"/>
        <v>99999999</v>
      </c>
      <c r="BT15">
        <f t="shared" si="35"/>
        <v>99999999</v>
      </c>
      <c r="BU15">
        <f t="shared" si="35"/>
        <v>99999999</v>
      </c>
      <c r="BV15">
        <f t="shared" si="35"/>
        <v>99999999</v>
      </c>
      <c r="BW15">
        <f t="shared" si="35"/>
        <v>99999999</v>
      </c>
      <c r="BX15">
        <f t="shared" si="35"/>
        <v>99999999</v>
      </c>
      <c r="BY15">
        <f t="shared" si="35"/>
        <v>99999999</v>
      </c>
      <c r="BZ15">
        <f t="shared" si="35"/>
        <v>99999999</v>
      </c>
      <c r="CA15">
        <f t="shared" si="35"/>
        <v>99999999</v>
      </c>
      <c r="CB15">
        <f t="shared" ref="CB15:CK24" si="36">IF(OR($D15&lt;&gt;2,CB$4*$B15+$C15&gt;$A15),99999999,(($A15-CB$4*$B15)-INT(($A15-CB$4*$B15)/$C15)*$C15)*100000+10000-CB$4-INT(($A15-CB$4*$B15)/$C15))</f>
        <v>99999999</v>
      </c>
      <c r="CC15">
        <f t="shared" si="36"/>
        <v>99999999</v>
      </c>
      <c r="CD15">
        <f t="shared" si="36"/>
        <v>99999999</v>
      </c>
      <c r="CE15">
        <f t="shared" si="36"/>
        <v>99999999</v>
      </c>
      <c r="CF15">
        <f t="shared" si="36"/>
        <v>99999999</v>
      </c>
      <c r="CG15">
        <f t="shared" si="36"/>
        <v>99999999</v>
      </c>
      <c r="CH15">
        <f t="shared" si="36"/>
        <v>99999999</v>
      </c>
      <c r="CI15">
        <f t="shared" si="36"/>
        <v>99999999</v>
      </c>
      <c r="CJ15">
        <f t="shared" si="36"/>
        <v>99999999</v>
      </c>
      <c r="CK15">
        <f t="shared" si="36"/>
        <v>99999999</v>
      </c>
      <c r="CL15">
        <f t="shared" ref="CL15:CU24" si="37">IF(OR($D15&lt;&gt;2,CL$4*$B15+$C15&gt;$A15),99999999,(($A15-CL$4*$B15)-INT(($A15-CL$4*$B15)/$C15)*$C15)*100000+10000-CL$4-INT(($A15-CL$4*$B15)/$C15))</f>
        <v>99999999</v>
      </c>
      <c r="CM15">
        <f t="shared" si="37"/>
        <v>99999999</v>
      </c>
      <c r="CN15">
        <f t="shared" si="37"/>
        <v>99999999</v>
      </c>
      <c r="CO15">
        <f t="shared" si="37"/>
        <v>99999999</v>
      </c>
      <c r="CP15">
        <f t="shared" si="37"/>
        <v>99999999</v>
      </c>
      <c r="CQ15">
        <f t="shared" si="37"/>
        <v>99999999</v>
      </c>
      <c r="CR15">
        <f t="shared" si="37"/>
        <v>99999999</v>
      </c>
      <c r="CS15">
        <f t="shared" si="37"/>
        <v>99999999</v>
      </c>
      <c r="CT15">
        <f t="shared" si="37"/>
        <v>99999999</v>
      </c>
      <c r="CU15">
        <f t="shared" si="37"/>
        <v>99999999</v>
      </c>
      <c r="CV15">
        <f t="shared" ref="CV15:DE24" si="38">IF(OR($D15&lt;&gt;2,CV$4*$B15+$C15&gt;$A15),99999999,(($A15-CV$4*$B15)-INT(($A15-CV$4*$B15)/$C15)*$C15)*100000+10000-CV$4-INT(($A15-CV$4*$B15)/$C15))</f>
        <v>99999999</v>
      </c>
      <c r="CW15">
        <f t="shared" si="38"/>
        <v>99999999</v>
      </c>
      <c r="CX15">
        <f t="shared" si="38"/>
        <v>99999999</v>
      </c>
      <c r="CY15">
        <f t="shared" si="38"/>
        <v>99999999</v>
      </c>
      <c r="CZ15">
        <f t="shared" si="38"/>
        <v>99999999</v>
      </c>
      <c r="DA15">
        <f t="shared" si="38"/>
        <v>99999999</v>
      </c>
      <c r="DB15">
        <f t="shared" si="38"/>
        <v>99999999</v>
      </c>
      <c r="DC15">
        <f t="shared" si="38"/>
        <v>99999999</v>
      </c>
      <c r="DD15">
        <f t="shared" si="38"/>
        <v>99999999</v>
      </c>
      <c r="DE15">
        <f t="shared" si="38"/>
        <v>99999999</v>
      </c>
      <c r="DF15">
        <f t="shared" ref="DF15:DO24" si="39">IF(OR($D15&lt;&gt;2,DF$4*$B15+$C15&gt;$A15),99999999,(($A15-DF$4*$B15)-INT(($A15-DF$4*$B15)/$C15)*$C15)*100000+10000-DF$4-INT(($A15-DF$4*$B15)/$C15))</f>
        <v>99999999</v>
      </c>
      <c r="DG15">
        <f t="shared" si="39"/>
        <v>99999999</v>
      </c>
      <c r="DH15">
        <f t="shared" si="39"/>
        <v>99999999</v>
      </c>
      <c r="DI15">
        <f t="shared" si="39"/>
        <v>99999999</v>
      </c>
      <c r="DJ15">
        <f t="shared" si="39"/>
        <v>99999999</v>
      </c>
      <c r="DK15">
        <f t="shared" si="39"/>
        <v>99999999</v>
      </c>
      <c r="DL15">
        <f t="shared" si="39"/>
        <v>99999999</v>
      </c>
      <c r="DM15">
        <f t="shared" si="39"/>
        <v>99999999</v>
      </c>
      <c r="DN15">
        <f t="shared" si="39"/>
        <v>99999999</v>
      </c>
      <c r="DO15">
        <f t="shared" si="39"/>
        <v>99999999</v>
      </c>
      <c r="DP15">
        <f t="shared" ref="DP15:DY24" si="40">IF(OR($D15&lt;&gt;2,DP$4*$B15+$C15&gt;$A15),99999999,(($A15-DP$4*$B15)-INT(($A15-DP$4*$B15)/$C15)*$C15)*100000+10000-DP$4-INT(($A15-DP$4*$B15)/$C15))</f>
        <v>99999999</v>
      </c>
      <c r="DQ15">
        <f t="shared" si="40"/>
        <v>99999999</v>
      </c>
      <c r="DR15">
        <f t="shared" si="40"/>
        <v>99999999</v>
      </c>
      <c r="DS15">
        <f t="shared" si="40"/>
        <v>99999999</v>
      </c>
      <c r="DT15">
        <f t="shared" si="40"/>
        <v>99999999</v>
      </c>
      <c r="DU15">
        <f t="shared" si="40"/>
        <v>99999999</v>
      </c>
      <c r="DV15">
        <f t="shared" si="40"/>
        <v>99999999</v>
      </c>
      <c r="DW15">
        <f t="shared" si="40"/>
        <v>99999999</v>
      </c>
      <c r="DX15">
        <f t="shared" si="40"/>
        <v>99999999</v>
      </c>
      <c r="DY15">
        <f t="shared" si="40"/>
        <v>99999999</v>
      </c>
      <c r="DZ15">
        <f t="shared" ref="DZ15:EI24" si="41">IF(OR($D15&lt;&gt;2,DZ$4*$B15+$C15&gt;$A15),99999999,(($A15-DZ$4*$B15)-INT(($A15-DZ$4*$B15)/$C15)*$C15)*100000+10000-DZ$4-INT(($A15-DZ$4*$B15)/$C15))</f>
        <v>99999999</v>
      </c>
      <c r="EA15">
        <f t="shared" si="41"/>
        <v>99999999</v>
      </c>
      <c r="EB15">
        <f t="shared" si="41"/>
        <v>99999999</v>
      </c>
      <c r="EC15">
        <f t="shared" si="41"/>
        <v>99999999</v>
      </c>
      <c r="ED15">
        <f t="shared" si="41"/>
        <v>99999999</v>
      </c>
      <c r="EE15">
        <f t="shared" si="41"/>
        <v>99999999</v>
      </c>
      <c r="EF15">
        <f t="shared" si="41"/>
        <v>99999999</v>
      </c>
      <c r="EG15">
        <f t="shared" si="41"/>
        <v>99999999</v>
      </c>
      <c r="EH15">
        <f t="shared" si="41"/>
        <v>99999999</v>
      </c>
      <c r="EI15">
        <f t="shared" si="41"/>
        <v>99999999</v>
      </c>
      <c r="EJ15">
        <f t="shared" ref="EJ15:ES24" si="42">IF(OR($D15&lt;&gt;2,EJ$4*$B15+$C15&gt;$A15),99999999,(($A15-EJ$4*$B15)-INT(($A15-EJ$4*$B15)/$C15)*$C15)*100000+10000-EJ$4-INT(($A15-EJ$4*$B15)/$C15))</f>
        <v>99999999</v>
      </c>
      <c r="EK15">
        <f t="shared" si="42"/>
        <v>99999999</v>
      </c>
      <c r="EL15">
        <f t="shared" si="42"/>
        <v>99999999</v>
      </c>
      <c r="EM15">
        <f t="shared" si="42"/>
        <v>99999999</v>
      </c>
      <c r="EN15">
        <f t="shared" si="42"/>
        <v>99999999</v>
      </c>
      <c r="EO15">
        <f t="shared" si="42"/>
        <v>99999999</v>
      </c>
      <c r="EP15">
        <f t="shared" si="42"/>
        <v>99999999</v>
      </c>
      <c r="EQ15">
        <f t="shared" si="42"/>
        <v>99999999</v>
      </c>
      <c r="ER15">
        <f t="shared" si="42"/>
        <v>99999999</v>
      </c>
      <c r="ES15">
        <f t="shared" si="42"/>
        <v>99999999</v>
      </c>
      <c r="ET15">
        <f t="shared" ref="ET15:FC24" si="43">IF(OR($D15&lt;&gt;2,ET$4*$B15+$C15&gt;$A15),99999999,(($A15-ET$4*$B15)-INT(($A15-ET$4*$B15)/$C15)*$C15)*100000+10000-ET$4-INT(($A15-ET$4*$B15)/$C15))</f>
        <v>99999999</v>
      </c>
      <c r="EU15">
        <f t="shared" si="43"/>
        <v>99999999</v>
      </c>
      <c r="EV15">
        <f t="shared" si="43"/>
        <v>99999999</v>
      </c>
      <c r="EW15">
        <f t="shared" si="43"/>
        <v>99999999</v>
      </c>
      <c r="EX15">
        <f t="shared" si="43"/>
        <v>99999999</v>
      </c>
      <c r="EY15">
        <f t="shared" si="43"/>
        <v>99999999</v>
      </c>
      <c r="EZ15">
        <f t="shared" si="43"/>
        <v>99999999</v>
      </c>
      <c r="FA15">
        <f t="shared" si="43"/>
        <v>99999999</v>
      </c>
      <c r="FB15">
        <f t="shared" si="43"/>
        <v>99999999</v>
      </c>
      <c r="FC15">
        <f t="shared" si="43"/>
        <v>99999999</v>
      </c>
      <c r="FD15">
        <f t="shared" ref="FD15:FM24" si="44">IF(OR($D15&lt;&gt;2,FD$4*$B15+$C15&gt;$A15),99999999,(($A15-FD$4*$B15)-INT(($A15-FD$4*$B15)/$C15)*$C15)*100000+10000-FD$4-INT(($A15-FD$4*$B15)/$C15))</f>
        <v>99999999</v>
      </c>
      <c r="FE15">
        <f t="shared" si="44"/>
        <v>99999999</v>
      </c>
      <c r="FF15">
        <f t="shared" si="44"/>
        <v>99999999</v>
      </c>
      <c r="FG15">
        <f t="shared" si="44"/>
        <v>99999999</v>
      </c>
      <c r="FH15">
        <f t="shared" si="44"/>
        <v>99999999</v>
      </c>
      <c r="FI15">
        <f t="shared" si="44"/>
        <v>99999999</v>
      </c>
      <c r="FJ15">
        <f t="shared" si="44"/>
        <v>99999999</v>
      </c>
      <c r="FK15">
        <f t="shared" si="44"/>
        <v>99999999</v>
      </c>
      <c r="FL15">
        <f t="shared" si="44"/>
        <v>99999999</v>
      </c>
      <c r="FM15">
        <f t="shared" si="44"/>
        <v>99999999</v>
      </c>
      <c r="FN15">
        <f t="shared" ref="FN15:FW24" si="45">IF(OR($D15&lt;&gt;2,FN$4*$B15+$C15&gt;$A15),99999999,(($A15-FN$4*$B15)-INT(($A15-FN$4*$B15)/$C15)*$C15)*100000+10000-FN$4-INT(($A15-FN$4*$B15)/$C15))</f>
        <v>99999999</v>
      </c>
      <c r="FO15">
        <f t="shared" si="45"/>
        <v>99999999</v>
      </c>
      <c r="FP15">
        <f t="shared" si="45"/>
        <v>99999999</v>
      </c>
      <c r="FQ15">
        <f t="shared" si="45"/>
        <v>99999999</v>
      </c>
      <c r="FR15">
        <f t="shared" si="45"/>
        <v>99999999</v>
      </c>
      <c r="FS15">
        <f t="shared" si="45"/>
        <v>99999999</v>
      </c>
      <c r="FT15">
        <f t="shared" si="45"/>
        <v>99999999</v>
      </c>
      <c r="FU15">
        <f t="shared" si="45"/>
        <v>99999999</v>
      </c>
      <c r="FV15">
        <f t="shared" si="45"/>
        <v>99999999</v>
      </c>
      <c r="FW15">
        <f t="shared" si="45"/>
        <v>99999999</v>
      </c>
      <c r="FX15">
        <f t="shared" ref="FX15:GG24" si="46">IF(OR($D15&lt;&gt;2,FX$4*$B15+$C15&gt;$A15),99999999,(($A15-FX$4*$B15)-INT(($A15-FX$4*$B15)/$C15)*$C15)*100000+10000-FX$4-INT(($A15-FX$4*$B15)/$C15))</f>
        <v>99999999</v>
      </c>
      <c r="FY15">
        <f t="shared" si="46"/>
        <v>99999999</v>
      </c>
      <c r="FZ15">
        <f t="shared" si="46"/>
        <v>99999999</v>
      </c>
      <c r="GA15">
        <f t="shared" si="46"/>
        <v>99999999</v>
      </c>
      <c r="GB15">
        <f t="shared" si="46"/>
        <v>99999999</v>
      </c>
      <c r="GC15">
        <f t="shared" si="46"/>
        <v>99999999</v>
      </c>
      <c r="GD15">
        <f t="shared" si="46"/>
        <v>99999999</v>
      </c>
      <c r="GE15">
        <f t="shared" si="46"/>
        <v>99999999</v>
      </c>
      <c r="GF15">
        <f t="shared" si="46"/>
        <v>99999999</v>
      </c>
      <c r="GG15">
        <f t="shared" si="46"/>
        <v>99999999</v>
      </c>
      <c r="GH15">
        <f t="shared" ref="GH15:GQ24" si="47">IF(OR($D15&lt;&gt;2,GH$4*$B15+$C15&gt;$A15),99999999,(($A15-GH$4*$B15)-INT(($A15-GH$4*$B15)/$C15)*$C15)*100000+10000-GH$4-INT(($A15-GH$4*$B15)/$C15))</f>
        <v>99999999</v>
      </c>
      <c r="GI15">
        <f t="shared" si="47"/>
        <v>99999999</v>
      </c>
      <c r="GJ15">
        <f t="shared" si="47"/>
        <v>99999999</v>
      </c>
      <c r="GK15">
        <f t="shared" si="47"/>
        <v>99999999</v>
      </c>
      <c r="GL15">
        <f t="shared" si="47"/>
        <v>99999999</v>
      </c>
      <c r="GM15">
        <f t="shared" si="47"/>
        <v>99999999</v>
      </c>
      <c r="GN15">
        <f t="shared" si="47"/>
        <v>99999999</v>
      </c>
      <c r="GO15">
        <f t="shared" si="47"/>
        <v>99999999</v>
      </c>
      <c r="GP15">
        <f t="shared" si="47"/>
        <v>99999999</v>
      </c>
      <c r="GQ15">
        <f t="shared" si="47"/>
        <v>99999999</v>
      </c>
      <c r="GR15">
        <f t="shared" ref="GR15:HA24" si="48">IF(OR($D15&lt;&gt;2,GR$4*$B15+$C15&gt;$A15),99999999,(($A15-GR$4*$B15)-INT(($A15-GR$4*$B15)/$C15)*$C15)*100000+10000-GR$4-INT(($A15-GR$4*$B15)/$C15))</f>
        <v>99999999</v>
      </c>
      <c r="GS15">
        <f t="shared" si="48"/>
        <v>99999999</v>
      </c>
      <c r="GT15">
        <f t="shared" si="48"/>
        <v>99999999</v>
      </c>
      <c r="GU15">
        <f t="shared" si="48"/>
        <v>99999999</v>
      </c>
      <c r="GV15">
        <f t="shared" si="48"/>
        <v>99999999</v>
      </c>
      <c r="GW15">
        <f t="shared" si="48"/>
        <v>99999999</v>
      </c>
      <c r="GX15">
        <f t="shared" si="48"/>
        <v>99999999</v>
      </c>
      <c r="GY15">
        <f t="shared" si="48"/>
        <v>99999999</v>
      </c>
      <c r="GZ15">
        <f t="shared" si="48"/>
        <v>99999999</v>
      </c>
      <c r="HA15">
        <f t="shared" si="48"/>
        <v>99999999</v>
      </c>
      <c r="HB15">
        <f t="shared" ref="HB15:HK24" si="49">IF(OR($D15&lt;&gt;2,HB$4*$B15+$C15&gt;$A15),99999999,(($A15-HB$4*$B15)-INT(($A15-HB$4*$B15)/$C15)*$C15)*100000+10000-HB$4-INT(($A15-HB$4*$B15)/$C15))</f>
        <v>99999999</v>
      </c>
      <c r="HC15">
        <f t="shared" si="49"/>
        <v>99999999</v>
      </c>
      <c r="HD15">
        <f t="shared" si="49"/>
        <v>99999999</v>
      </c>
      <c r="HE15">
        <f t="shared" si="49"/>
        <v>99999999</v>
      </c>
      <c r="HF15">
        <f t="shared" si="49"/>
        <v>99999999</v>
      </c>
      <c r="HG15">
        <f t="shared" si="49"/>
        <v>99999999</v>
      </c>
      <c r="HH15">
        <f t="shared" si="49"/>
        <v>99999999</v>
      </c>
      <c r="HI15">
        <f t="shared" si="49"/>
        <v>99999999</v>
      </c>
      <c r="HJ15">
        <f t="shared" si="49"/>
        <v>99999999</v>
      </c>
      <c r="HK15">
        <f t="shared" si="49"/>
        <v>99999999</v>
      </c>
      <c r="HL15">
        <f t="shared" ref="HL15:HU24" si="50">IF(OR($D15&lt;&gt;2,HL$4*$B15+$C15&gt;$A15),99999999,(($A15-HL$4*$B15)-INT(($A15-HL$4*$B15)/$C15)*$C15)*100000+10000-HL$4-INT(($A15-HL$4*$B15)/$C15))</f>
        <v>99999999</v>
      </c>
      <c r="HM15">
        <f t="shared" si="50"/>
        <v>99999999</v>
      </c>
      <c r="HN15">
        <f t="shared" si="50"/>
        <v>99999999</v>
      </c>
      <c r="HO15">
        <f t="shared" si="50"/>
        <v>99999999</v>
      </c>
      <c r="HP15">
        <f t="shared" si="50"/>
        <v>99999999</v>
      </c>
      <c r="HQ15">
        <f t="shared" si="50"/>
        <v>99999999</v>
      </c>
      <c r="HR15">
        <f t="shared" si="50"/>
        <v>99999999</v>
      </c>
      <c r="HS15">
        <f t="shared" si="50"/>
        <v>99999999</v>
      </c>
      <c r="HT15">
        <f t="shared" si="50"/>
        <v>99999999</v>
      </c>
      <c r="HU15">
        <f t="shared" si="50"/>
        <v>99999999</v>
      </c>
      <c r="HV15">
        <f t="shared" ref="HV15:IE24" si="51">IF(OR($D15&lt;&gt;2,HV$4*$B15+$C15&gt;$A15),99999999,(($A15-HV$4*$B15)-INT(($A15-HV$4*$B15)/$C15)*$C15)*100000+10000-HV$4-INT(($A15-HV$4*$B15)/$C15))</f>
        <v>99999999</v>
      </c>
      <c r="HW15">
        <f t="shared" si="51"/>
        <v>99999999</v>
      </c>
      <c r="HX15">
        <f t="shared" si="51"/>
        <v>99999999</v>
      </c>
      <c r="HY15">
        <f t="shared" si="51"/>
        <v>99999999</v>
      </c>
      <c r="HZ15">
        <f t="shared" si="51"/>
        <v>99999999</v>
      </c>
      <c r="IA15">
        <f t="shared" si="51"/>
        <v>99999999</v>
      </c>
      <c r="IB15">
        <f t="shared" si="51"/>
        <v>99999999</v>
      </c>
      <c r="IC15">
        <f t="shared" si="51"/>
        <v>99999999</v>
      </c>
      <c r="ID15">
        <f t="shared" si="51"/>
        <v>99999999</v>
      </c>
      <c r="IE15">
        <f t="shared" si="51"/>
        <v>99999999</v>
      </c>
      <c r="IF15">
        <f t="shared" ref="IF15:IO24" si="52">IF(OR($D15&lt;&gt;2,IF$4*$B15+$C15&gt;$A15),99999999,(($A15-IF$4*$B15)-INT(($A15-IF$4*$B15)/$C15)*$C15)*100000+10000-IF$4-INT(($A15-IF$4*$B15)/$C15))</f>
        <v>99999999</v>
      </c>
      <c r="IG15">
        <f t="shared" si="52"/>
        <v>99999999</v>
      </c>
      <c r="IH15">
        <f t="shared" si="52"/>
        <v>99999999</v>
      </c>
      <c r="II15">
        <f t="shared" si="52"/>
        <v>99999999</v>
      </c>
      <c r="IJ15">
        <f t="shared" si="52"/>
        <v>99999999</v>
      </c>
      <c r="IK15">
        <f t="shared" si="52"/>
        <v>99999999</v>
      </c>
      <c r="IL15">
        <f t="shared" si="52"/>
        <v>99999999</v>
      </c>
      <c r="IM15">
        <f t="shared" si="52"/>
        <v>99999999</v>
      </c>
      <c r="IN15">
        <f t="shared" si="52"/>
        <v>99999999</v>
      </c>
      <c r="IO15">
        <f t="shared" si="52"/>
        <v>99999999</v>
      </c>
      <c r="IP15">
        <f t="shared" ref="IP15:IY24" si="53">IF(OR($D15&lt;&gt;2,IP$4*$B15+$C15&gt;$A15),99999999,(($A15-IP$4*$B15)-INT(($A15-IP$4*$B15)/$C15)*$C15)*100000+10000-IP$4-INT(($A15-IP$4*$B15)/$C15))</f>
        <v>99999999</v>
      </c>
      <c r="IQ15">
        <f t="shared" si="53"/>
        <v>99999999</v>
      </c>
      <c r="IR15">
        <f t="shared" si="53"/>
        <v>99999999</v>
      </c>
      <c r="IS15">
        <f t="shared" si="53"/>
        <v>99999999</v>
      </c>
      <c r="IT15">
        <f t="shared" si="53"/>
        <v>99999999</v>
      </c>
      <c r="IU15">
        <f t="shared" si="53"/>
        <v>99999999</v>
      </c>
      <c r="IV15">
        <f t="shared" si="53"/>
        <v>99999999</v>
      </c>
      <c r="IW15">
        <f t="shared" si="53"/>
        <v>99999999</v>
      </c>
      <c r="IX15">
        <f t="shared" si="53"/>
        <v>99999999</v>
      </c>
      <c r="IY15">
        <f t="shared" si="53"/>
        <v>99999999</v>
      </c>
    </row>
    <row r="16" spans="1:259" x14ac:dyDescent="0.3">
      <c r="A16">
        <f>CAMBIOS!A16</f>
        <v>20</v>
      </c>
      <c r="B16">
        <f>IF(D16=1,CAMBIOS!P16*Valor_1+CAMBIOS!Q16*Valor_2+CAMBIOS!R16*Valor_3,IF(CAMBIOS!P16=1,Valor_1,Valor_2))</f>
        <v>5</v>
      </c>
      <c r="C16">
        <f>IF(D16=1,0,IF(CAMBIOS!R16=1,Valor_3,Valor_2))</f>
        <v>7</v>
      </c>
      <c r="D16">
        <f>CAMBIOS!P16+CAMBIOS!Q16+CAMBIOS!R16</f>
        <v>2</v>
      </c>
      <c r="E16">
        <f t="shared" si="0"/>
        <v>109997</v>
      </c>
      <c r="F16">
        <f t="shared" si="1"/>
        <v>1</v>
      </c>
      <c r="G16">
        <f t="shared" si="2"/>
        <v>2</v>
      </c>
      <c r="H16">
        <f t="shared" si="3"/>
        <v>1</v>
      </c>
      <c r="J16">
        <f t="shared" si="29"/>
        <v>109997</v>
      </c>
      <c r="K16">
        <f t="shared" si="29"/>
        <v>309997</v>
      </c>
      <c r="L16">
        <f t="shared" si="29"/>
        <v>99999999</v>
      </c>
      <c r="M16">
        <f t="shared" si="29"/>
        <v>99999999</v>
      </c>
      <c r="N16">
        <f t="shared" si="29"/>
        <v>99999999</v>
      </c>
      <c r="O16">
        <f t="shared" si="29"/>
        <v>99999999</v>
      </c>
      <c r="P16">
        <f t="shared" si="29"/>
        <v>99999999</v>
      </c>
      <c r="Q16">
        <f t="shared" si="29"/>
        <v>99999999</v>
      </c>
      <c r="R16">
        <f t="shared" si="29"/>
        <v>99999999</v>
      </c>
      <c r="S16">
        <f t="shared" si="29"/>
        <v>99999999</v>
      </c>
      <c r="T16">
        <f t="shared" si="30"/>
        <v>99999999</v>
      </c>
      <c r="U16">
        <f t="shared" si="30"/>
        <v>99999999</v>
      </c>
      <c r="V16">
        <f t="shared" si="30"/>
        <v>99999999</v>
      </c>
      <c r="W16">
        <f t="shared" si="30"/>
        <v>99999999</v>
      </c>
      <c r="X16">
        <f t="shared" si="30"/>
        <v>99999999</v>
      </c>
      <c r="Y16">
        <f t="shared" si="30"/>
        <v>99999999</v>
      </c>
      <c r="Z16">
        <f t="shared" si="30"/>
        <v>99999999</v>
      </c>
      <c r="AA16">
        <f t="shared" si="30"/>
        <v>99999999</v>
      </c>
      <c r="AB16">
        <f t="shared" si="30"/>
        <v>99999999</v>
      </c>
      <c r="AC16">
        <f t="shared" si="30"/>
        <v>99999999</v>
      </c>
      <c r="AD16">
        <f t="shared" si="31"/>
        <v>99999999</v>
      </c>
      <c r="AE16">
        <f t="shared" si="31"/>
        <v>99999999</v>
      </c>
      <c r="AF16">
        <f t="shared" si="31"/>
        <v>99999999</v>
      </c>
      <c r="AG16">
        <f t="shared" si="31"/>
        <v>99999999</v>
      </c>
      <c r="AH16">
        <f t="shared" si="31"/>
        <v>99999999</v>
      </c>
      <c r="AI16">
        <f t="shared" si="31"/>
        <v>99999999</v>
      </c>
      <c r="AJ16">
        <f t="shared" si="31"/>
        <v>99999999</v>
      </c>
      <c r="AK16">
        <f t="shared" si="31"/>
        <v>99999999</v>
      </c>
      <c r="AL16">
        <f t="shared" si="31"/>
        <v>99999999</v>
      </c>
      <c r="AM16">
        <f t="shared" si="31"/>
        <v>99999999</v>
      </c>
      <c r="AN16">
        <f t="shared" si="32"/>
        <v>99999999</v>
      </c>
      <c r="AO16">
        <f t="shared" si="32"/>
        <v>99999999</v>
      </c>
      <c r="AP16">
        <f t="shared" si="32"/>
        <v>99999999</v>
      </c>
      <c r="AQ16">
        <f t="shared" si="32"/>
        <v>99999999</v>
      </c>
      <c r="AR16">
        <f t="shared" si="32"/>
        <v>99999999</v>
      </c>
      <c r="AS16">
        <f t="shared" si="32"/>
        <v>99999999</v>
      </c>
      <c r="AT16">
        <f t="shared" si="32"/>
        <v>99999999</v>
      </c>
      <c r="AU16">
        <f t="shared" si="32"/>
        <v>99999999</v>
      </c>
      <c r="AV16">
        <f t="shared" si="32"/>
        <v>99999999</v>
      </c>
      <c r="AW16">
        <f t="shared" si="32"/>
        <v>99999999</v>
      </c>
      <c r="AX16">
        <f t="shared" si="33"/>
        <v>99999999</v>
      </c>
      <c r="AY16">
        <f t="shared" si="33"/>
        <v>99999999</v>
      </c>
      <c r="AZ16">
        <f t="shared" si="33"/>
        <v>99999999</v>
      </c>
      <c r="BA16">
        <f t="shared" si="33"/>
        <v>99999999</v>
      </c>
      <c r="BB16">
        <f t="shared" si="33"/>
        <v>99999999</v>
      </c>
      <c r="BC16">
        <f t="shared" si="33"/>
        <v>99999999</v>
      </c>
      <c r="BD16">
        <f t="shared" si="33"/>
        <v>99999999</v>
      </c>
      <c r="BE16">
        <f t="shared" si="33"/>
        <v>99999999</v>
      </c>
      <c r="BF16">
        <f t="shared" si="33"/>
        <v>99999999</v>
      </c>
      <c r="BG16">
        <f t="shared" si="33"/>
        <v>99999999</v>
      </c>
      <c r="BH16">
        <f t="shared" si="34"/>
        <v>99999999</v>
      </c>
      <c r="BI16">
        <f t="shared" si="34"/>
        <v>99999999</v>
      </c>
      <c r="BJ16">
        <f t="shared" si="34"/>
        <v>99999999</v>
      </c>
      <c r="BK16">
        <f t="shared" si="34"/>
        <v>99999999</v>
      </c>
      <c r="BL16">
        <f t="shared" si="34"/>
        <v>99999999</v>
      </c>
      <c r="BM16">
        <f t="shared" si="34"/>
        <v>99999999</v>
      </c>
      <c r="BN16">
        <f t="shared" si="34"/>
        <v>99999999</v>
      </c>
      <c r="BO16">
        <f t="shared" si="34"/>
        <v>99999999</v>
      </c>
      <c r="BP16">
        <f t="shared" si="34"/>
        <v>99999999</v>
      </c>
      <c r="BQ16">
        <f t="shared" si="34"/>
        <v>99999999</v>
      </c>
      <c r="BR16">
        <f t="shared" si="35"/>
        <v>99999999</v>
      </c>
      <c r="BS16">
        <f t="shared" si="35"/>
        <v>99999999</v>
      </c>
      <c r="BT16">
        <f t="shared" si="35"/>
        <v>99999999</v>
      </c>
      <c r="BU16">
        <f t="shared" si="35"/>
        <v>99999999</v>
      </c>
      <c r="BV16">
        <f t="shared" si="35"/>
        <v>99999999</v>
      </c>
      <c r="BW16">
        <f t="shared" si="35"/>
        <v>99999999</v>
      </c>
      <c r="BX16">
        <f t="shared" si="35"/>
        <v>99999999</v>
      </c>
      <c r="BY16">
        <f t="shared" si="35"/>
        <v>99999999</v>
      </c>
      <c r="BZ16">
        <f t="shared" si="35"/>
        <v>99999999</v>
      </c>
      <c r="CA16">
        <f t="shared" si="35"/>
        <v>99999999</v>
      </c>
      <c r="CB16">
        <f t="shared" si="36"/>
        <v>99999999</v>
      </c>
      <c r="CC16">
        <f t="shared" si="36"/>
        <v>99999999</v>
      </c>
      <c r="CD16">
        <f t="shared" si="36"/>
        <v>99999999</v>
      </c>
      <c r="CE16">
        <f t="shared" si="36"/>
        <v>99999999</v>
      </c>
      <c r="CF16">
        <f t="shared" si="36"/>
        <v>99999999</v>
      </c>
      <c r="CG16">
        <f t="shared" si="36"/>
        <v>99999999</v>
      </c>
      <c r="CH16">
        <f t="shared" si="36"/>
        <v>99999999</v>
      </c>
      <c r="CI16">
        <f t="shared" si="36"/>
        <v>99999999</v>
      </c>
      <c r="CJ16">
        <f t="shared" si="36"/>
        <v>99999999</v>
      </c>
      <c r="CK16">
        <f t="shared" si="36"/>
        <v>99999999</v>
      </c>
      <c r="CL16">
        <f t="shared" si="37"/>
        <v>99999999</v>
      </c>
      <c r="CM16">
        <f t="shared" si="37"/>
        <v>99999999</v>
      </c>
      <c r="CN16">
        <f t="shared" si="37"/>
        <v>99999999</v>
      </c>
      <c r="CO16">
        <f t="shared" si="37"/>
        <v>99999999</v>
      </c>
      <c r="CP16">
        <f t="shared" si="37"/>
        <v>99999999</v>
      </c>
      <c r="CQ16">
        <f t="shared" si="37"/>
        <v>99999999</v>
      </c>
      <c r="CR16">
        <f t="shared" si="37"/>
        <v>99999999</v>
      </c>
      <c r="CS16">
        <f t="shared" si="37"/>
        <v>99999999</v>
      </c>
      <c r="CT16">
        <f t="shared" si="37"/>
        <v>99999999</v>
      </c>
      <c r="CU16">
        <f t="shared" si="37"/>
        <v>99999999</v>
      </c>
      <c r="CV16">
        <f t="shared" si="38"/>
        <v>99999999</v>
      </c>
      <c r="CW16">
        <f t="shared" si="38"/>
        <v>99999999</v>
      </c>
      <c r="CX16">
        <f t="shared" si="38"/>
        <v>99999999</v>
      </c>
      <c r="CY16">
        <f t="shared" si="38"/>
        <v>99999999</v>
      </c>
      <c r="CZ16">
        <f t="shared" si="38"/>
        <v>99999999</v>
      </c>
      <c r="DA16">
        <f t="shared" si="38"/>
        <v>99999999</v>
      </c>
      <c r="DB16">
        <f t="shared" si="38"/>
        <v>99999999</v>
      </c>
      <c r="DC16">
        <f t="shared" si="38"/>
        <v>99999999</v>
      </c>
      <c r="DD16">
        <f t="shared" si="38"/>
        <v>99999999</v>
      </c>
      <c r="DE16">
        <f t="shared" si="38"/>
        <v>99999999</v>
      </c>
      <c r="DF16">
        <f t="shared" si="39"/>
        <v>99999999</v>
      </c>
      <c r="DG16">
        <f t="shared" si="39"/>
        <v>99999999</v>
      </c>
      <c r="DH16">
        <f t="shared" si="39"/>
        <v>99999999</v>
      </c>
      <c r="DI16">
        <f t="shared" si="39"/>
        <v>99999999</v>
      </c>
      <c r="DJ16">
        <f t="shared" si="39"/>
        <v>99999999</v>
      </c>
      <c r="DK16">
        <f t="shared" si="39"/>
        <v>99999999</v>
      </c>
      <c r="DL16">
        <f t="shared" si="39"/>
        <v>99999999</v>
      </c>
      <c r="DM16">
        <f t="shared" si="39"/>
        <v>99999999</v>
      </c>
      <c r="DN16">
        <f t="shared" si="39"/>
        <v>99999999</v>
      </c>
      <c r="DO16">
        <f t="shared" si="39"/>
        <v>99999999</v>
      </c>
      <c r="DP16">
        <f t="shared" si="40"/>
        <v>99999999</v>
      </c>
      <c r="DQ16">
        <f t="shared" si="40"/>
        <v>99999999</v>
      </c>
      <c r="DR16">
        <f t="shared" si="40"/>
        <v>99999999</v>
      </c>
      <c r="DS16">
        <f t="shared" si="40"/>
        <v>99999999</v>
      </c>
      <c r="DT16">
        <f t="shared" si="40"/>
        <v>99999999</v>
      </c>
      <c r="DU16">
        <f t="shared" si="40"/>
        <v>99999999</v>
      </c>
      <c r="DV16">
        <f t="shared" si="40"/>
        <v>99999999</v>
      </c>
      <c r="DW16">
        <f t="shared" si="40"/>
        <v>99999999</v>
      </c>
      <c r="DX16">
        <f t="shared" si="40"/>
        <v>99999999</v>
      </c>
      <c r="DY16">
        <f t="shared" si="40"/>
        <v>99999999</v>
      </c>
      <c r="DZ16">
        <f t="shared" si="41"/>
        <v>99999999</v>
      </c>
      <c r="EA16">
        <f t="shared" si="41"/>
        <v>99999999</v>
      </c>
      <c r="EB16">
        <f t="shared" si="41"/>
        <v>99999999</v>
      </c>
      <c r="EC16">
        <f t="shared" si="41"/>
        <v>99999999</v>
      </c>
      <c r="ED16">
        <f t="shared" si="41"/>
        <v>99999999</v>
      </c>
      <c r="EE16">
        <f t="shared" si="41"/>
        <v>99999999</v>
      </c>
      <c r="EF16">
        <f t="shared" si="41"/>
        <v>99999999</v>
      </c>
      <c r="EG16">
        <f t="shared" si="41"/>
        <v>99999999</v>
      </c>
      <c r="EH16">
        <f t="shared" si="41"/>
        <v>99999999</v>
      </c>
      <c r="EI16">
        <f t="shared" si="41"/>
        <v>99999999</v>
      </c>
      <c r="EJ16">
        <f t="shared" si="42"/>
        <v>99999999</v>
      </c>
      <c r="EK16">
        <f t="shared" si="42"/>
        <v>99999999</v>
      </c>
      <c r="EL16">
        <f t="shared" si="42"/>
        <v>99999999</v>
      </c>
      <c r="EM16">
        <f t="shared" si="42"/>
        <v>99999999</v>
      </c>
      <c r="EN16">
        <f t="shared" si="42"/>
        <v>99999999</v>
      </c>
      <c r="EO16">
        <f t="shared" si="42"/>
        <v>99999999</v>
      </c>
      <c r="EP16">
        <f t="shared" si="42"/>
        <v>99999999</v>
      </c>
      <c r="EQ16">
        <f t="shared" si="42"/>
        <v>99999999</v>
      </c>
      <c r="ER16">
        <f t="shared" si="42"/>
        <v>99999999</v>
      </c>
      <c r="ES16">
        <f t="shared" si="42"/>
        <v>99999999</v>
      </c>
      <c r="ET16">
        <f t="shared" si="43"/>
        <v>99999999</v>
      </c>
      <c r="EU16">
        <f t="shared" si="43"/>
        <v>99999999</v>
      </c>
      <c r="EV16">
        <f t="shared" si="43"/>
        <v>99999999</v>
      </c>
      <c r="EW16">
        <f t="shared" si="43"/>
        <v>99999999</v>
      </c>
      <c r="EX16">
        <f t="shared" si="43"/>
        <v>99999999</v>
      </c>
      <c r="EY16">
        <f t="shared" si="43"/>
        <v>99999999</v>
      </c>
      <c r="EZ16">
        <f t="shared" si="43"/>
        <v>99999999</v>
      </c>
      <c r="FA16">
        <f t="shared" si="43"/>
        <v>99999999</v>
      </c>
      <c r="FB16">
        <f t="shared" si="43"/>
        <v>99999999</v>
      </c>
      <c r="FC16">
        <f t="shared" si="43"/>
        <v>99999999</v>
      </c>
      <c r="FD16">
        <f t="shared" si="44"/>
        <v>99999999</v>
      </c>
      <c r="FE16">
        <f t="shared" si="44"/>
        <v>99999999</v>
      </c>
      <c r="FF16">
        <f t="shared" si="44"/>
        <v>99999999</v>
      </c>
      <c r="FG16">
        <f t="shared" si="44"/>
        <v>99999999</v>
      </c>
      <c r="FH16">
        <f t="shared" si="44"/>
        <v>99999999</v>
      </c>
      <c r="FI16">
        <f t="shared" si="44"/>
        <v>99999999</v>
      </c>
      <c r="FJ16">
        <f t="shared" si="44"/>
        <v>99999999</v>
      </c>
      <c r="FK16">
        <f t="shared" si="44"/>
        <v>99999999</v>
      </c>
      <c r="FL16">
        <f t="shared" si="44"/>
        <v>99999999</v>
      </c>
      <c r="FM16">
        <f t="shared" si="44"/>
        <v>99999999</v>
      </c>
      <c r="FN16">
        <f t="shared" si="45"/>
        <v>99999999</v>
      </c>
      <c r="FO16">
        <f t="shared" si="45"/>
        <v>99999999</v>
      </c>
      <c r="FP16">
        <f t="shared" si="45"/>
        <v>99999999</v>
      </c>
      <c r="FQ16">
        <f t="shared" si="45"/>
        <v>99999999</v>
      </c>
      <c r="FR16">
        <f t="shared" si="45"/>
        <v>99999999</v>
      </c>
      <c r="FS16">
        <f t="shared" si="45"/>
        <v>99999999</v>
      </c>
      <c r="FT16">
        <f t="shared" si="45"/>
        <v>99999999</v>
      </c>
      <c r="FU16">
        <f t="shared" si="45"/>
        <v>99999999</v>
      </c>
      <c r="FV16">
        <f t="shared" si="45"/>
        <v>99999999</v>
      </c>
      <c r="FW16">
        <f t="shared" si="45"/>
        <v>99999999</v>
      </c>
      <c r="FX16">
        <f t="shared" si="46"/>
        <v>99999999</v>
      </c>
      <c r="FY16">
        <f t="shared" si="46"/>
        <v>99999999</v>
      </c>
      <c r="FZ16">
        <f t="shared" si="46"/>
        <v>99999999</v>
      </c>
      <c r="GA16">
        <f t="shared" si="46"/>
        <v>99999999</v>
      </c>
      <c r="GB16">
        <f t="shared" si="46"/>
        <v>99999999</v>
      </c>
      <c r="GC16">
        <f t="shared" si="46"/>
        <v>99999999</v>
      </c>
      <c r="GD16">
        <f t="shared" si="46"/>
        <v>99999999</v>
      </c>
      <c r="GE16">
        <f t="shared" si="46"/>
        <v>99999999</v>
      </c>
      <c r="GF16">
        <f t="shared" si="46"/>
        <v>99999999</v>
      </c>
      <c r="GG16">
        <f t="shared" si="46"/>
        <v>99999999</v>
      </c>
      <c r="GH16">
        <f t="shared" si="47"/>
        <v>99999999</v>
      </c>
      <c r="GI16">
        <f t="shared" si="47"/>
        <v>99999999</v>
      </c>
      <c r="GJ16">
        <f t="shared" si="47"/>
        <v>99999999</v>
      </c>
      <c r="GK16">
        <f t="shared" si="47"/>
        <v>99999999</v>
      </c>
      <c r="GL16">
        <f t="shared" si="47"/>
        <v>99999999</v>
      </c>
      <c r="GM16">
        <f t="shared" si="47"/>
        <v>99999999</v>
      </c>
      <c r="GN16">
        <f t="shared" si="47"/>
        <v>99999999</v>
      </c>
      <c r="GO16">
        <f t="shared" si="47"/>
        <v>99999999</v>
      </c>
      <c r="GP16">
        <f t="shared" si="47"/>
        <v>99999999</v>
      </c>
      <c r="GQ16">
        <f t="shared" si="47"/>
        <v>99999999</v>
      </c>
      <c r="GR16">
        <f t="shared" si="48"/>
        <v>99999999</v>
      </c>
      <c r="GS16">
        <f t="shared" si="48"/>
        <v>99999999</v>
      </c>
      <c r="GT16">
        <f t="shared" si="48"/>
        <v>99999999</v>
      </c>
      <c r="GU16">
        <f t="shared" si="48"/>
        <v>99999999</v>
      </c>
      <c r="GV16">
        <f t="shared" si="48"/>
        <v>99999999</v>
      </c>
      <c r="GW16">
        <f t="shared" si="48"/>
        <v>99999999</v>
      </c>
      <c r="GX16">
        <f t="shared" si="48"/>
        <v>99999999</v>
      </c>
      <c r="GY16">
        <f t="shared" si="48"/>
        <v>99999999</v>
      </c>
      <c r="GZ16">
        <f t="shared" si="48"/>
        <v>99999999</v>
      </c>
      <c r="HA16">
        <f t="shared" si="48"/>
        <v>99999999</v>
      </c>
      <c r="HB16">
        <f t="shared" si="49"/>
        <v>99999999</v>
      </c>
      <c r="HC16">
        <f t="shared" si="49"/>
        <v>99999999</v>
      </c>
      <c r="HD16">
        <f t="shared" si="49"/>
        <v>99999999</v>
      </c>
      <c r="HE16">
        <f t="shared" si="49"/>
        <v>99999999</v>
      </c>
      <c r="HF16">
        <f t="shared" si="49"/>
        <v>99999999</v>
      </c>
      <c r="HG16">
        <f t="shared" si="49"/>
        <v>99999999</v>
      </c>
      <c r="HH16">
        <f t="shared" si="49"/>
        <v>99999999</v>
      </c>
      <c r="HI16">
        <f t="shared" si="49"/>
        <v>99999999</v>
      </c>
      <c r="HJ16">
        <f t="shared" si="49"/>
        <v>99999999</v>
      </c>
      <c r="HK16">
        <f t="shared" si="49"/>
        <v>99999999</v>
      </c>
      <c r="HL16">
        <f t="shared" si="50"/>
        <v>99999999</v>
      </c>
      <c r="HM16">
        <f t="shared" si="50"/>
        <v>99999999</v>
      </c>
      <c r="HN16">
        <f t="shared" si="50"/>
        <v>99999999</v>
      </c>
      <c r="HO16">
        <f t="shared" si="50"/>
        <v>99999999</v>
      </c>
      <c r="HP16">
        <f t="shared" si="50"/>
        <v>99999999</v>
      </c>
      <c r="HQ16">
        <f t="shared" si="50"/>
        <v>99999999</v>
      </c>
      <c r="HR16">
        <f t="shared" si="50"/>
        <v>99999999</v>
      </c>
      <c r="HS16">
        <f t="shared" si="50"/>
        <v>99999999</v>
      </c>
      <c r="HT16">
        <f t="shared" si="50"/>
        <v>99999999</v>
      </c>
      <c r="HU16">
        <f t="shared" si="50"/>
        <v>99999999</v>
      </c>
      <c r="HV16">
        <f t="shared" si="51"/>
        <v>99999999</v>
      </c>
      <c r="HW16">
        <f t="shared" si="51"/>
        <v>99999999</v>
      </c>
      <c r="HX16">
        <f t="shared" si="51"/>
        <v>99999999</v>
      </c>
      <c r="HY16">
        <f t="shared" si="51"/>
        <v>99999999</v>
      </c>
      <c r="HZ16">
        <f t="shared" si="51"/>
        <v>99999999</v>
      </c>
      <c r="IA16">
        <f t="shared" si="51"/>
        <v>99999999</v>
      </c>
      <c r="IB16">
        <f t="shared" si="51"/>
        <v>99999999</v>
      </c>
      <c r="IC16">
        <f t="shared" si="51"/>
        <v>99999999</v>
      </c>
      <c r="ID16">
        <f t="shared" si="51"/>
        <v>99999999</v>
      </c>
      <c r="IE16">
        <f t="shared" si="51"/>
        <v>99999999</v>
      </c>
      <c r="IF16">
        <f t="shared" si="52"/>
        <v>99999999</v>
      </c>
      <c r="IG16">
        <f t="shared" si="52"/>
        <v>99999999</v>
      </c>
      <c r="IH16">
        <f t="shared" si="52"/>
        <v>99999999</v>
      </c>
      <c r="II16">
        <f t="shared" si="52"/>
        <v>99999999</v>
      </c>
      <c r="IJ16">
        <f t="shared" si="52"/>
        <v>99999999</v>
      </c>
      <c r="IK16">
        <f t="shared" si="52"/>
        <v>99999999</v>
      </c>
      <c r="IL16">
        <f t="shared" si="52"/>
        <v>99999999</v>
      </c>
      <c r="IM16">
        <f t="shared" si="52"/>
        <v>99999999</v>
      </c>
      <c r="IN16">
        <f t="shared" si="52"/>
        <v>99999999</v>
      </c>
      <c r="IO16">
        <f t="shared" si="52"/>
        <v>99999999</v>
      </c>
      <c r="IP16">
        <f t="shared" si="53"/>
        <v>99999999</v>
      </c>
      <c r="IQ16">
        <f t="shared" si="53"/>
        <v>99999999</v>
      </c>
      <c r="IR16">
        <f t="shared" si="53"/>
        <v>99999999</v>
      </c>
      <c r="IS16">
        <f t="shared" si="53"/>
        <v>99999999</v>
      </c>
      <c r="IT16">
        <f t="shared" si="53"/>
        <v>99999999</v>
      </c>
      <c r="IU16">
        <f t="shared" si="53"/>
        <v>99999999</v>
      </c>
      <c r="IV16">
        <f t="shared" si="53"/>
        <v>99999999</v>
      </c>
      <c r="IW16">
        <f t="shared" si="53"/>
        <v>99999999</v>
      </c>
      <c r="IX16">
        <f t="shared" si="53"/>
        <v>99999999</v>
      </c>
      <c r="IY16">
        <f t="shared" si="53"/>
        <v>99999999</v>
      </c>
    </row>
    <row r="17" spans="1:259" x14ac:dyDescent="0.3">
      <c r="A17">
        <f>CAMBIOS!A17</f>
        <v>50</v>
      </c>
      <c r="B17">
        <f>IF(D17=1,CAMBIOS!P17*Valor_1+CAMBIOS!Q17*Valor_2+CAMBIOS!R17*Valor_3,IF(CAMBIOS!P17=1,Valor_1,Valor_2))</f>
        <v>3</v>
      </c>
      <c r="C17">
        <f>IF(D17=1,0,IF(CAMBIOS!R17=1,Valor_3,Valor_2))</f>
        <v>0</v>
      </c>
      <c r="D17">
        <f>CAMBIOS!P17+CAMBIOS!Q17+CAMBIOS!R17</f>
        <v>1</v>
      </c>
      <c r="E17">
        <f t="shared" si="0"/>
        <v>99999999</v>
      </c>
      <c r="F17">
        <f t="shared" si="1"/>
        <v>16</v>
      </c>
      <c r="G17">
        <f t="shared" si="2"/>
        <v>0</v>
      </c>
      <c r="H17">
        <f t="shared" si="3"/>
        <v>2</v>
      </c>
      <c r="J17">
        <f t="shared" si="29"/>
        <v>99999999</v>
      </c>
      <c r="K17">
        <f t="shared" si="29"/>
        <v>99999999</v>
      </c>
      <c r="L17">
        <f t="shared" si="29"/>
        <v>99999999</v>
      </c>
      <c r="M17">
        <f t="shared" si="29"/>
        <v>99999999</v>
      </c>
      <c r="N17">
        <f t="shared" si="29"/>
        <v>99999999</v>
      </c>
      <c r="O17">
        <f t="shared" si="29"/>
        <v>99999999</v>
      </c>
      <c r="P17">
        <f t="shared" si="29"/>
        <v>99999999</v>
      </c>
      <c r="Q17">
        <f t="shared" si="29"/>
        <v>99999999</v>
      </c>
      <c r="R17">
        <f t="shared" si="29"/>
        <v>99999999</v>
      </c>
      <c r="S17">
        <f t="shared" si="29"/>
        <v>99999999</v>
      </c>
      <c r="T17">
        <f t="shared" si="30"/>
        <v>99999999</v>
      </c>
      <c r="U17">
        <f t="shared" si="30"/>
        <v>99999999</v>
      </c>
      <c r="V17">
        <f t="shared" si="30"/>
        <v>99999999</v>
      </c>
      <c r="W17">
        <f t="shared" si="30"/>
        <v>99999999</v>
      </c>
      <c r="X17">
        <f t="shared" si="30"/>
        <v>99999999</v>
      </c>
      <c r="Y17">
        <f t="shared" si="30"/>
        <v>99999999</v>
      </c>
      <c r="Z17">
        <f t="shared" si="30"/>
        <v>99999999</v>
      </c>
      <c r="AA17">
        <f t="shared" si="30"/>
        <v>99999999</v>
      </c>
      <c r="AB17">
        <f t="shared" si="30"/>
        <v>99999999</v>
      </c>
      <c r="AC17">
        <f t="shared" si="30"/>
        <v>99999999</v>
      </c>
      <c r="AD17">
        <f t="shared" si="31"/>
        <v>99999999</v>
      </c>
      <c r="AE17">
        <f t="shared" si="31"/>
        <v>99999999</v>
      </c>
      <c r="AF17">
        <f t="shared" si="31"/>
        <v>99999999</v>
      </c>
      <c r="AG17">
        <f t="shared" si="31"/>
        <v>99999999</v>
      </c>
      <c r="AH17">
        <f t="shared" si="31"/>
        <v>99999999</v>
      </c>
      <c r="AI17">
        <f t="shared" si="31"/>
        <v>99999999</v>
      </c>
      <c r="AJ17">
        <f t="shared" si="31"/>
        <v>99999999</v>
      </c>
      <c r="AK17">
        <f t="shared" si="31"/>
        <v>99999999</v>
      </c>
      <c r="AL17">
        <f t="shared" si="31"/>
        <v>99999999</v>
      </c>
      <c r="AM17">
        <f t="shared" si="31"/>
        <v>99999999</v>
      </c>
      <c r="AN17">
        <f t="shared" si="32"/>
        <v>99999999</v>
      </c>
      <c r="AO17">
        <f t="shared" si="32"/>
        <v>99999999</v>
      </c>
      <c r="AP17">
        <f t="shared" si="32"/>
        <v>99999999</v>
      </c>
      <c r="AQ17">
        <f t="shared" si="32"/>
        <v>99999999</v>
      </c>
      <c r="AR17">
        <f t="shared" si="32"/>
        <v>99999999</v>
      </c>
      <c r="AS17">
        <f t="shared" si="32"/>
        <v>99999999</v>
      </c>
      <c r="AT17">
        <f t="shared" si="32"/>
        <v>99999999</v>
      </c>
      <c r="AU17">
        <f t="shared" si="32"/>
        <v>99999999</v>
      </c>
      <c r="AV17">
        <f t="shared" si="32"/>
        <v>99999999</v>
      </c>
      <c r="AW17">
        <f t="shared" si="32"/>
        <v>99999999</v>
      </c>
      <c r="AX17">
        <f t="shared" si="33"/>
        <v>99999999</v>
      </c>
      <c r="AY17">
        <f t="shared" si="33"/>
        <v>99999999</v>
      </c>
      <c r="AZ17">
        <f t="shared" si="33"/>
        <v>99999999</v>
      </c>
      <c r="BA17">
        <f t="shared" si="33"/>
        <v>99999999</v>
      </c>
      <c r="BB17">
        <f t="shared" si="33"/>
        <v>99999999</v>
      </c>
      <c r="BC17">
        <f t="shared" si="33"/>
        <v>99999999</v>
      </c>
      <c r="BD17">
        <f t="shared" si="33"/>
        <v>99999999</v>
      </c>
      <c r="BE17">
        <f t="shared" si="33"/>
        <v>99999999</v>
      </c>
      <c r="BF17">
        <f t="shared" si="33"/>
        <v>99999999</v>
      </c>
      <c r="BG17">
        <f t="shared" si="33"/>
        <v>99999999</v>
      </c>
      <c r="BH17">
        <f t="shared" si="34"/>
        <v>99999999</v>
      </c>
      <c r="BI17">
        <f t="shared" si="34"/>
        <v>99999999</v>
      </c>
      <c r="BJ17">
        <f t="shared" si="34"/>
        <v>99999999</v>
      </c>
      <c r="BK17">
        <f t="shared" si="34"/>
        <v>99999999</v>
      </c>
      <c r="BL17">
        <f t="shared" si="34"/>
        <v>99999999</v>
      </c>
      <c r="BM17">
        <f t="shared" si="34"/>
        <v>99999999</v>
      </c>
      <c r="BN17">
        <f t="shared" si="34"/>
        <v>99999999</v>
      </c>
      <c r="BO17">
        <f t="shared" si="34"/>
        <v>99999999</v>
      </c>
      <c r="BP17">
        <f t="shared" si="34"/>
        <v>99999999</v>
      </c>
      <c r="BQ17">
        <f t="shared" si="34"/>
        <v>99999999</v>
      </c>
      <c r="BR17">
        <f t="shared" si="35"/>
        <v>99999999</v>
      </c>
      <c r="BS17">
        <f t="shared" si="35"/>
        <v>99999999</v>
      </c>
      <c r="BT17">
        <f t="shared" si="35"/>
        <v>99999999</v>
      </c>
      <c r="BU17">
        <f t="shared" si="35"/>
        <v>99999999</v>
      </c>
      <c r="BV17">
        <f t="shared" si="35"/>
        <v>99999999</v>
      </c>
      <c r="BW17">
        <f t="shared" si="35"/>
        <v>99999999</v>
      </c>
      <c r="BX17">
        <f t="shared" si="35"/>
        <v>99999999</v>
      </c>
      <c r="BY17">
        <f t="shared" si="35"/>
        <v>99999999</v>
      </c>
      <c r="BZ17">
        <f t="shared" si="35"/>
        <v>99999999</v>
      </c>
      <c r="CA17">
        <f t="shared" si="35"/>
        <v>99999999</v>
      </c>
      <c r="CB17">
        <f t="shared" si="36"/>
        <v>99999999</v>
      </c>
      <c r="CC17">
        <f t="shared" si="36"/>
        <v>99999999</v>
      </c>
      <c r="CD17">
        <f t="shared" si="36"/>
        <v>99999999</v>
      </c>
      <c r="CE17">
        <f t="shared" si="36"/>
        <v>99999999</v>
      </c>
      <c r="CF17">
        <f t="shared" si="36"/>
        <v>99999999</v>
      </c>
      <c r="CG17">
        <f t="shared" si="36"/>
        <v>99999999</v>
      </c>
      <c r="CH17">
        <f t="shared" si="36"/>
        <v>99999999</v>
      </c>
      <c r="CI17">
        <f t="shared" si="36"/>
        <v>99999999</v>
      </c>
      <c r="CJ17">
        <f t="shared" si="36"/>
        <v>99999999</v>
      </c>
      <c r="CK17">
        <f t="shared" si="36"/>
        <v>99999999</v>
      </c>
      <c r="CL17">
        <f t="shared" si="37"/>
        <v>99999999</v>
      </c>
      <c r="CM17">
        <f t="shared" si="37"/>
        <v>99999999</v>
      </c>
      <c r="CN17">
        <f t="shared" si="37"/>
        <v>99999999</v>
      </c>
      <c r="CO17">
        <f t="shared" si="37"/>
        <v>99999999</v>
      </c>
      <c r="CP17">
        <f t="shared" si="37"/>
        <v>99999999</v>
      </c>
      <c r="CQ17">
        <f t="shared" si="37"/>
        <v>99999999</v>
      </c>
      <c r="CR17">
        <f t="shared" si="37"/>
        <v>99999999</v>
      </c>
      <c r="CS17">
        <f t="shared" si="37"/>
        <v>99999999</v>
      </c>
      <c r="CT17">
        <f t="shared" si="37"/>
        <v>99999999</v>
      </c>
      <c r="CU17">
        <f t="shared" si="37"/>
        <v>99999999</v>
      </c>
      <c r="CV17">
        <f t="shared" si="38"/>
        <v>99999999</v>
      </c>
      <c r="CW17">
        <f t="shared" si="38"/>
        <v>99999999</v>
      </c>
      <c r="CX17">
        <f t="shared" si="38"/>
        <v>99999999</v>
      </c>
      <c r="CY17">
        <f t="shared" si="38"/>
        <v>99999999</v>
      </c>
      <c r="CZ17">
        <f t="shared" si="38"/>
        <v>99999999</v>
      </c>
      <c r="DA17">
        <f t="shared" si="38"/>
        <v>99999999</v>
      </c>
      <c r="DB17">
        <f t="shared" si="38"/>
        <v>99999999</v>
      </c>
      <c r="DC17">
        <f t="shared" si="38"/>
        <v>99999999</v>
      </c>
      <c r="DD17">
        <f t="shared" si="38"/>
        <v>99999999</v>
      </c>
      <c r="DE17">
        <f t="shared" si="38"/>
        <v>99999999</v>
      </c>
      <c r="DF17">
        <f t="shared" si="39"/>
        <v>99999999</v>
      </c>
      <c r="DG17">
        <f t="shared" si="39"/>
        <v>99999999</v>
      </c>
      <c r="DH17">
        <f t="shared" si="39"/>
        <v>99999999</v>
      </c>
      <c r="DI17">
        <f t="shared" si="39"/>
        <v>99999999</v>
      </c>
      <c r="DJ17">
        <f t="shared" si="39"/>
        <v>99999999</v>
      </c>
      <c r="DK17">
        <f t="shared" si="39"/>
        <v>99999999</v>
      </c>
      <c r="DL17">
        <f t="shared" si="39"/>
        <v>99999999</v>
      </c>
      <c r="DM17">
        <f t="shared" si="39"/>
        <v>99999999</v>
      </c>
      <c r="DN17">
        <f t="shared" si="39"/>
        <v>99999999</v>
      </c>
      <c r="DO17">
        <f t="shared" si="39"/>
        <v>99999999</v>
      </c>
      <c r="DP17">
        <f t="shared" si="40"/>
        <v>99999999</v>
      </c>
      <c r="DQ17">
        <f t="shared" si="40"/>
        <v>99999999</v>
      </c>
      <c r="DR17">
        <f t="shared" si="40"/>
        <v>99999999</v>
      </c>
      <c r="DS17">
        <f t="shared" si="40"/>
        <v>99999999</v>
      </c>
      <c r="DT17">
        <f t="shared" si="40"/>
        <v>99999999</v>
      </c>
      <c r="DU17">
        <f t="shared" si="40"/>
        <v>99999999</v>
      </c>
      <c r="DV17">
        <f t="shared" si="40"/>
        <v>99999999</v>
      </c>
      <c r="DW17">
        <f t="shared" si="40"/>
        <v>99999999</v>
      </c>
      <c r="DX17">
        <f t="shared" si="40"/>
        <v>99999999</v>
      </c>
      <c r="DY17">
        <f t="shared" si="40"/>
        <v>99999999</v>
      </c>
      <c r="DZ17">
        <f t="shared" si="41"/>
        <v>99999999</v>
      </c>
      <c r="EA17">
        <f t="shared" si="41"/>
        <v>99999999</v>
      </c>
      <c r="EB17">
        <f t="shared" si="41"/>
        <v>99999999</v>
      </c>
      <c r="EC17">
        <f t="shared" si="41"/>
        <v>99999999</v>
      </c>
      <c r="ED17">
        <f t="shared" si="41"/>
        <v>99999999</v>
      </c>
      <c r="EE17">
        <f t="shared" si="41"/>
        <v>99999999</v>
      </c>
      <c r="EF17">
        <f t="shared" si="41"/>
        <v>99999999</v>
      </c>
      <c r="EG17">
        <f t="shared" si="41"/>
        <v>99999999</v>
      </c>
      <c r="EH17">
        <f t="shared" si="41"/>
        <v>99999999</v>
      </c>
      <c r="EI17">
        <f t="shared" si="41"/>
        <v>99999999</v>
      </c>
      <c r="EJ17">
        <f t="shared" si="42"/>
        <v>99999999</v>
      </c>
      <c r="EK17">
        <f t="shared" si="42"/>
        <v>99999999</v>
      </c>
      <c r="EL17">
        <f t="shared" si="42"/>
        <v>99999999</v>
      </c>
      <c r="EM17">
        <f t="shared" si="42"/>
        <v>99999999</v>
      </c>
      <c r="EN17">
        <f t="shared" si="42"/>
        <v>99999999</v>
      </c>
      <c r="EO17">
        <f t="shared" si="42"/>
        <v>99999999</v>
      </c>
      <c r="EP17">
        <f t="shared" si="42"/>
        <v>99999999</v>
      </c>
      <c r="EQ17">
        <f t="shared" si="42"/>
        <v>99999999</v>
      </c>
      <c r="ER17">
        <f t="shared" si="42"/>
        <v>99999999</v>
      </c>
      <c r="ES17">
        <f t="shared" si="42"/>
        <v>99999999</v>
      </c>
      <c r="ET17">
        <f t="shared" si="43"/>
        <v>99999999</v>
      </c>
      <c r="EU17">
        <f t="shared" si="43"/>
        <v>99999999</v>
      </c>
      <c r="EV17">
        <f t="shared" si="43"/>
        <v>99999999</v>
      </c>
      <c r="EW17">
        <f t="shared" si="43"/>
        <v>99999999</v>
      </c>
      <c r="EX17">
        <f t="shared" si="43"/>
        <v>99999999</v>
      </c>
      <c r="EY17">
        <f t="shared" si="43"/>
        <v>99999999</v>
      </c>
      <c r="EZ17">
        <f t="shared" si="43"/>
        <v>99999999</v>
      </c>
      <c r="FA17">
        <f t="shared" si="43"/>
        <v>99999999</v>
      </c>
      <c r="FB17">
        <f t="shared" si="43"/>
        <v>99999999</v>
      </c>
      <c r="FC17">
        <f t="shared" si="43"/>
        <v>99999999</v>
      </c>
      <c r="FD17">
        <f t="shared" si="44"/>
        <v>99999999</v>
      </c>
      <c r="FE17">
        <f t="shared" si="44"/>
        <v>99999999</v>
      </c>
      <c r="FF17">
        <f t="shared" si="44"/>
        <v>99999999</v>
      </c>
      <c r="FG17">
        <f t="shared" si="44"/>
        <v>99999999</v>
      </c>
      <c r="FH17">
        <f t="shared" si="44"/>
        <v>99999999</v>
      </c>
      <c r="FI17">
        <f t="shared" si="44"/>
        <v>99999999</v>
      </c>
      <c r="FJ17">
        <f t="shared" si="44"/>
        <v>99999999</v>
      </c>
      <c r="FK17">
        <f t="shared" si="44"/>
        <v>99999999</v>
      </c>
      <c r="FL17">
        <f t="shared" si="44"/>
        <v>99999999</v>
      </c>
      <c r="FM17">
        <f t="shared" si="44"/>
        <v>99999999</v>
      </c>
      <c r="FN17">
        <f t="shared" si="45"/>
        <v>99999999</v>
      </c>
      <c r="FO17">
        <f t="shared" si="45"/>
        <v>99999999</v>
      </c>
      <c r="FP17">
        <f t="shared" si="45"/>
        <v>99999999</v>
      </c>
      <c r="FQ17">
        <f t="shared" si="45"/>
        <v>99999999</v>
      </c>
      <c r="FR17">
        <f t="shared" si="45"/>
        <v>99999999</v>
      </c>
      <c r="FS17">
        <f t="shared" si="45"/>
        <v>99999999</v>
      </c>
      <c r="FT17">
        <f t="shared" si="45"/>
        <v>99999999</v>
      </c>
      <c r="FU17">
        <f t="shared" si="45"/>
        <v>99999999</v>
      </c>
      <c r="FV17">
        <f t="shared" si="45"/>
        <v>99999999</v>
      </c>
      <c r="FW17">
        <f t="shared" si="45"/>
        <v>99999999</v>
      </c>
      <c r="FX17">
        <f t="shared" si="46"/>
        <v>99999999</v>
      </c>
      <c r="FY17">
        <f t="shared" si="46"/>
        <v>99999999</v>
      </c>
      <c r="FZ17">
        <f t="shared" si="46"/>
        <v>99999999</v>
      </c>
      <c r="GA17">
        <f t="shared" si="46"/>
        <v>99999999</v>
      </c>
      <c r="GB17">
        <f t="shared" si="46"/>
        <v>99999999</v>
      </c>
      <c r="GC17">
        <f t="shared" si="46"/>
        <v>99999999</v>
      </c>
      <c r="GD17">
        <f t="shared" si="46"/>
        <v>99999999</v>
      </c>
      <c r="GE17">
        <f t="shared" si="46"/>
        <v>99999999</v>
      </c>
      <c r="GF17">
        <f t="shared" si="46"/>
        <v>99999999</v>
      </c>
      <c r="GG17">
        <f t="shared" si="46"/>
        <v>99999999</v>
      </c>
      <c r="GH17">
        <f t="shared" si="47"/>
        <v>99999999</v>
      </c>
      <c r="GI17">
        <f t="shared" si="47"/>
        <v>99999999</v>
      </c>
      <c r="GJ17">
        <f t="shared" si="47"/>
        <v>99999999</v>
      </c>
      <c r="GK17">
        <f t="shared" si="47"/>
        <v>99999999</v>
      </c>
      <c r="GL17">
        <f t="shared" si="47"/>
        <v>99999999</v>
      </c>
      <c r="GM17">
        <f t="shared" si="47"/>
        <v>99999999</v>
      </c>
      <c r="GN17">
        <f t="shared" si="47"/>
        <v>99999999</v>
      </c>
      <c r="GO17">
        <f t="shared" si="47"/>
        <v>99999999</v>
      </c>
      <c r="GP17">
        <f t="shared" si="47"/>
        <v>99999999</v>
      </c>
      <c r="GQ17">
        <f t="shared" si="47"/>
        <v>99999999</v>
      </c>
      <c r="GR17">
        <f t="shared" si="48"/>
        <v>99999999</v>
      </c>
      <c r="GS17">
        <f t="shared" si="48"/>
        <v>99999999</v>
      </c>
      <c r="GT17">
        <f t="shared" si="48"/>
        <v>99999999</v>
      </c>
      <c r="GU17">
        <f t="shared" si="48"/>
        <v>99999999</v>
      </c>
      <c r="GV17">
        <f t="shared" si="48"/>
        <v>99999999</v>
      </c>
      <c r="GW17">
        <f t="shared" si="48"/>
        <v>99999999</v>
      </c>
      <c r="GX17">
        <f t="shared" si="48"/>
        <v>99999999</v>
      </c>
      <c r="GY17">
        <f t="shared" si="48"/>
        <v>99999999</v>
      </c>
      <c r="GZ17">
        <f t="shared" si="48"/>
        <v>99999999</v>
      </c>
      <c r="HA17">
        <f t="shared" si="48"/>
        <v>99999999</v>
      </c>
      <c r="HB17">
        <f t="shared" si="49"/>
        <v>99999999</v>
      </c>
      <c r="HC17">
        <f t="shared" si="49"/>
        <v>99999999</v>
      </c>
      <c r="HD17">
        <f t="shared" si="49"/>
        <v>99999999</v>
      </c>
      <c r="HE17">
        <f t="shared" si="49"/>
        <v>99999999</v>
      </c>
      <c r="HF17">
        <f t="shared" si="49"/>
        <v>99999999</v>
      </c>
      <c r="HG17">
        <f t="shared" si="49"/>
        <v>99999999</v>
      </c>
      <c r="HH17">
        <f t="shared" si="49"/>
        <v>99999999</v>
      </c>
      <c r="HI17">
        <f t="shared" si="49"/>
        <v>99999999</v>
      </c>
      <c r="HJ17">
        <f t="shared" si="49"/>
        <v>99999999</v>
      </c>
      <c r="HK17">
        <f t="shared" si="49"/>
        <v>99999999</v>
      </c>
      <c r="HL17">
        <f t="shared" si="50"/>
        <v>99999999</v>
      </c>
      <c r="HM17">
        <f t="shared" si="50"/>
        <v>99999999</v>
      </c>
      <c r="HN17">
        <f t="shared" si="50"/>
        <v>99999999</v>
      </c>
      <c r="HO17">
        <f t="shared" si="50"/>
        <v>99999999</v>
      </c>
      <c r="HP17">
        <f t="shared" si="50"/>
        <v>99999999</v>
      </c>
      <c r="HQ17">
        <f t="shared" si="50"/>
        <v>99999999</v>
      </c>
      <c r="HR17">
        <f t="shared" si="50"/>
        <v>99999999</v>
      </c>
      <c r="HS17">
        <f t="shared" si="50"/>
        <v>99999999</v>
      </c>
      <c r="HT17">
        <f t="shared" si="50"/>
        <v>99999999</v>
      </c>
      <c r="HU17">
        <f t="shared" si="50"/>
        <v>99999999</v>
      </c>
      <c r="HV17">
        <f t="shared" si="51"/>
        <v>99999999</v>
      </c>
      <c r="HW17">
        <f t="shared" si="51"/>
        <v>99999999</v>
      </c>
      <c r="HX17">
        <f t="shared" si="51"/>
        <v>99999999</v>
      </c>
      <c r="HY17">
        <f t="shared" si="51"/>
        <v>99999999</v>
      </c>
      <c r="HZ17">
        <f t="shared" si="51"/>
        <v>99999999</v>
      </c>
      <c r="IA17">
        <f t="shared" si="51"/>
        <v>99999999</v>
      </c>
      <c r="IB17">
        <f t="shared" si="51"/>
        <v>99999999</v>
      </c>
      <c r="IC17">
        <f t="shared" si="51"/>
        <v>99999999</v>
      </c>
      <c r="ID17">
        <f t="shared" si="51"/>
        <v>99999999</v>
      </c>
      <c r="IE17">
        <f t="shared" si="51"/>
        <v>99999999</v>
      </c>
      <c r="IF17">
        <f t="shared" si="52"/>
        <v>99999999</v>
      </c>
      <c r="IG17">
        <f t="shared" si="52"/>
        <v>99999999</v>
      </c>
      <c r="IH17">
        <f t="shared" si="52"/>
        <v>99999999</v>
      </c>
      <c r="II17">
        <f t="shared" si="52"/>
        <v>99999999</v>
      </c>
      <c r="IJ17">
        <f t="shared" si="52"/>
        <v>99999999</v>
      </c>
      <c r="IK17">
        <f t="shared" si="52"/>
        <v>99999999</v>
      </c>
      <c r="IL17">
        <f t="shared" si="52"/>
        <v>99999999</v>
      </c>
      <c r="IM17">
        <f t="shared" si="52"/>
        <v>99999999</v>
      </c>
      <c r="IN17">
        <f t="shared" si="52"/>
        <v>99999999</v>
      </c>
      <c r="IO17">
        <f t="shared" si="52"/>
        <v>99999999</v>
      </c>
      <c r="IP17">
        <f t="shared" si="53"/>
        <v>99999999</v>
      </c>
      <c r="IQ17">
        <f t="shared" si="53"/>
        <v>99999999</v>
      </c>
      <c r="IR17">
        <f t="shared" si="53"/>
        <v>99999999</v>
      </c>
      <c r="IS17">
        <f t="shared" si="53"/>
        <v>99999999</v>
      </c>
      <c r="IT17">
        <f t="shared" si="53"/>
        <v>99999999</v>
      </c>
      <c r="IU17">
        <f t="shared" si="53"/>
        <v>99999999</v>
      </c>
      <c r="IV17">
        <f t="shared" si="53"/>
        <v>99999999</v>
      </c>
      <c r="IW17">
        <f t="shared" si="53"/>
        <v>99999999</v>
      </c>
      <c r="IX17">
        <f t="shared" si="53"/>
        <v>99999999</v>
      </c>
      <c r="IY17">
        <f t="shared" si="53"/>
        <v>99999999</v>
      </c>
    </row>
    <row r="18" spans="1:259" x14ac:dyDescent="0.3">
      <c r="A18">
        <f>CAMBIOS!A18</f>
        <v>50</v>
      </c>
      <c r="B18">
        <f>IF(D18=1,CAMBIOS!P18*Valor_1+CAMBIOS!Q18*Valor_2+CAMBIOS!R18*Valor_3,IF(CAMBIOS!P18=1,Valor_1,Valor_2))</f>
        <v>5</v>
      </c>
      <c r="C18">
        <f>IF(D18=1,0,IF(CAMBIOS!R18=1,Valor_3,Valor_2))</f>
        <v>0</v>
      </c>
      <c r="D18">
        <f>CAMBIOS!P18+CAMBIOS!Q18+CAMBIOS!R18</f>
        <v>1</v>
      </c>
      <c r="E18">
        <f t="shared" si="0"/>
        <v>99999999</v>
      </c>
      <c r="F18">
        <f t="shared" si="1"/>
        <v>10</v>
      </c>
      <c r="G18">
        <f t="shared" si="2"/>
        <v>0</v>
      </c>
      <c r="H18">
        <f t="shared" si="3"/>
        <v>0</v>
      </c>
      <c r="J18">
        <f t="shared" si="29"/>
        <v>99999999</v>
      </c>
      <c r="K18">
        <f t="shared" si="29"/>
        <v>99999999</v>
      </c>
      <c r="L18">
        <f t="shared" si="29"/>
        <v>99999999</v>
      </c>
      <c r="M18">
        <f t="shared" si="29"/>
        <v>99999999</v>
      </c>
      <c r="N18">
        <f t="shared" si="29"/>
        <v>99999999</v>
      </c>
      <c r="O18">
        <f t="shared" si="29"/>
        <v>99999999</v>
      </c>
      <c r="P18">
        <f t="shared" si="29"/>
        <v>99999999</v>
      </c>
      <c r="Q18">
        <f t="shared" si="29"/>
        <v>99999999</v>
      </c>
      <c r="R18">
        <f t="shared" si="29"/>
        <v>99999999</v>
      </c>
      <c r="S18">
        <f t="shared" si="29"/>
        <v>99999999</v>
      </c>
      <c r="T18">
        <f t="shared" si="30"/>
        <v>99999999</v>
      </c>
      <c r="U18">
        <f t="shared" si="30"/>
        <v>99999999</v>
      </c>
      <c r="V18">
        <f t="shared" si="30"/>
        <v>99999999</v>
      </c>
      <c r="W18">
        <f t="shared" si="30"/>
        <v>99999999</v>
      </c>
      <c r="X18">
        <f t="shared" si="30"/>
        <v>99999999</v>
      </c>
      <c r="Y18">
        <f t="shared" si="30"/>
        <v>99999999</v>
      </c>
      <c r="Z18">
        <f t="shared" si="30"/>
        <v>99999999</v>
      </c>
      <c r="AA18">
        <f t="shared" si="30"/>
        <v>99999999</v>
      </c>
      <c r="AB18">
        <f t="shared" si="30"/>
        <v>99999999</v>
      </c>
      <c r="AC18">
        <f t="shared" si="30"/>
        <v>99999999</v>
      </c>
      <c r="AD18">
        <f t="shared" si="31"/>
        <v>99999999</v>
      </c>
      <c r="AE18">
        <f t="shared" si="31"/>
        <v>99999999</v>
      </c>
      <c r="AF18">
        <f t="shared" si="31"/>
        <v>99999999</v>
      </c>
      <c r="AG18">
        <f t="shared" si="31"/>
        <v>99999999</v>
      </c>
      <c r="AH18">
        <f t="shared" si="31"/>
        <v>99999999</v>
      </c>
      <c r="AI18">
        <f t="shared" si="31"/>
        <v>99999999</v>
      </c>
      <c r="AJ18">
        <f t="shared" si="31"/>
        <v>99999999</v>
      </c>
      <c r="AK18">
        <f t="shared" si="31"/>
        <v>99999999</v>
      </c>
      <c r="AL18">
        <f t="shared" si="31"/>
        <v>99999999</v>
      </c>
      <c r="AM18">
        <f t="shared" si="31"/>
        <v>99999999</v>
      </c>
      <c r="AN18">
        <f t="shared" si="32"/>
        <v>99999999</v>
      </c>
      <c r="AO18">
        <f t="shared" si="32"/>
        <v>99999999</v>
      </c>
      <c r="AP18">
        <f t="shared" si="32"/>
        <v>99999999</v>
      </c>
      <c r="AQ18">
        <f t="shared" si="32"/>
        <v>99999999</v>
      </c>
      <c r="AR18">
        <f t="shared" si="32"/>
        <v>99999999</v>
      </c>
      <c r="AS18">
        <f t="shared" si="32"/>
        <v>99999999</v>
      </c>
      <c r="AT18">
        <f t="shared" si="32"/>
        <v>99999999</v>
      </c>
      <c r="AU18">
        <f t="shared" si="32"/>
        <v>99999999</v>
      </c>
      <c r="AV18">
        <f t="shared" si="32"/>
        <v>99999999</v>
      </c>
      <c r="AW18">
        <f t="shared" si="32"/>
        <v>99999999</v>
      </c>
      <c r="AX18">
        <f t="shared" si="33"/>
        <v>99999999</v>
      </c>
      <c r="AY18">
        <f t="shared" si="33"/>
        <v>99999999</v>
      </c>
      <c r="AZ18">
        <f t="shared" si="33"/>
        <v>99999999</v>
      </c>
      <c r="BA18">
        <f t="shared" si="33"/>
        <v>99999999</v>
      </c>
      <c r="BB18">
        <f t="shared" si="33"/>
        <v>99999999</v>
      </c>
      <c r="BC18">
        <f t="shared" si="33"/>
        <v>99999999</v>
      </c>
      <c r="BD18">
        <f t="shared" si="33"/>
        <v>99999999</v>
      </c>
      <c r="BE18">
        <f t="shared" si="33"/>
        <v>99999999</v>
      </c>
      <c r="BF18">
        <f t="shared" si="33"/>
        <v>99999999</v>
      </c>
      <c r="BG18">
        <f t="shared" si="33"/>
        <v>99999999</v>
      </c>
      <c r="BH18">
        <f t="shared" si="34"/>
        <v>99999999</v>
      </c>
      <c r="BI18">
        <f t="shared" si="34"/>
        <v>99999999</v>
      </c>
      <c r="BJ18">
        <f t="shared" si="34"/>
        <v>99999999</v>
      </c>
      <c r="BK18">
        <f t="shared" si="34"/>
        <v>99999999</v>
      </c>
      <c r="BL18">
        <f t="shared" si="34"/>
        <v>99999999</v>
      </c>
      <c r="BM18">
        <f t="shared" si="34"/>
        <v>99999999</v>
      </c>
      <c r="BN18">
        <f t="shared" si="34"/>
        <v>99999999</v>
      </c>
      <c r="BO18">
        <f t="shared" si="34"/>
        <v>99999999</v>
      </c>
      <c r="BP18">
        <f t="shared" si="34"/>
        <v>99999999</v>
      </c>
      <c r="BQ18">
        <f t="shared" si="34"/>
        <v>99999999</v>
      </c>
      <c r="BR18">
        <f t="shared" si="35"/>
        <v>99999999</v>
      </c>
      <c r="BS18">
        <f t="shared" si="35"/>
        <v>99999999</v>
      </c>
      <c r="BT18">
        <f t="shared" si="35"/>
        <v>99999999</v>
      </c>
      <c r="BU18">
        <f t="shared" si="35"/>
        <v>99999999</v>
      </c>
      <c r="BV18">
        <f t="shared" si="35"/>
        <v>99999999</v>
      </c>
      <c r="BW18">
        <f t="shared" si="35"/>
        <v>99999999</v>
      </c>
      <c r="BX18">
        <f t="shared" si="35"/>
        <v>99999999</v>
      </c>
      <c r="BY18">
        <f t="shared" si="35"/>
        <v>99999999</v>
      </c>
      <c r="BZ18">
        <f t="shared" si="35"/>
        <v>99999999</v>
      </c>
      <c r="CA18">
        <f t="shared" si="35"/>
        <v>99999999</v>
      </c>
      <c r="CB18">
        <f t="shared" si="36"/>
        <v>99999999</v>
      </c>
      <c r="CC18">
        <f t="shared" si="36"/>
        <v>99999999</v>
      </c>
      <c r="CD18">
        <f t="shared" si="36"/>
        <v>99999999</v>
      </c>
      <c r="CE18">
        <f t="shared" si="36"/>
        <v>99999999</v>
      </c>
      <c r="CF18">
        <f t="shared" si="36"/>
        <v>99999999</v>
      </c>
      <c r="CG18">
        <f t="shared" si="36"/>
        <v>99999999</v>
      </c>
      <c r="CH18">
        <f t="shared" si="36"/>
        <v>99999999</v>
      </c>
      <c r="CI18">
        <f t="shared" si="36"/>
        <v>99999999</v>
      </c>
      <c r="CJ18">
        <f t="shared" si="36"/>
        <v>99999999</v>
      </c>
      <c r="CK18">
        <f t="shared" si="36"/>
        <v>99999999</v>
      </c>
      <c r="CL18">
        <f t="shared" si="37"/>
        <v>99999999</v>
      </c>
      <c r="CM18">
        <f t="shared" si="37"/>
        <v>99999999</v>
      </c>
      <c r="CN18">
        <f t="shared" si="37"/>
        <v>99999999</v>
      </c>
      <c r="CO18">
        <f t="shared" si="37"/>
        <v>99999999</v>
      </c>
      <c r="CP18">
        <f t="shared" si="37"/>
        <v>99999999</v>
      </c>
      <c r="CQ18">
        <f t="shared" si="37"/>
        <v>99999999</v>
      </c>
      <c r="CR18">
        <f t="shared" si="37"/>
        <v>99999999</v>
      </c>
      <c r="CS18">
        <f t="shared" si="37"/>
        <v>99999999</v>
      </c>
      <c r="CT18">
        <f t="shared" si="37"/>
        <v>99999999</v>
      </c>
      <c r="CU18">
        <f t="shared" si="37"/>
        <v>99999999</v>
      </c>
      <c r="CV18">
        <f t="shared" si="38"/>
        <v>99999999</v>
      </c>
      <c r="CW18">
        <f t="shared" si="38"/>
        <v>99999999</v>
      </c>
      <c r="CX18">
        <f t="shared" si="38"/>
        <v>99999999</v>
      </c>
      <c r="CY18">
        <f t="shared" si="38"/>
        <v>99999999</v>
      </c>
      <c r="CZ18">
        <f t="shared" si="38"/>
        <v>99999999</v>
      </c>
      <c r="DA18">
        <f t="shared" si="38"/>
        <v>99999999</v>
      </c>
      <c r="DB18">
        <f t="shared" si="38"/>
        <v>99999999</v>
      </c>
      <c r="DC18">
        <f t="shared" si="38"/>
        <v>99999999</v>
      </c>
      <c r="DD18">
        <f t="shared" si="38"/>
        <v>99999999</v>
      </c>
      <c r="DE18">
        <f t="shared" si="38"/>
        <v>99999999</v>
      </c>
      <c r="DF18">
        <f t="shared" si="39"/>
        <v>99999999</v>
      </c>
      <c r="DG18">
        <f t="shared" si="39"/>
        <v>99999999</v>
      </c>
      <c r="DH18">
        <f t="shared" si="39"/>
        <v>99999999</v>
      </c>
      <c r="DI18">
        <f t="shared" si="39"/>
        <v>99999999</v>
      </c>
      <c r="DJ18">
        <f t="shared" si="39"/>
        <v>99999999</v>
      </c>
      <c r="DK18">
        <f t="shared" si="39"/>
        <v>99999999</v>
      </c>
      <c r="DL18">
        <f t="shared" si="39"/>
        <v>99999999</v>
      </c>
      <c r="DM18">
        <f t="shared" si="39"/>
        <v>99999999</v>
      </c>
      <c r="DN18">
        <f t="shared" si="39"/>
        <v>99999999</v>
      </c>
      <c r="DO18">
        <f t="shared" si="39"/>
        <v>99999999</v>
      </c>
      <c r="DP18">
        <f t="shared" si="40"/>
        <v>99999999</v>
      </c>
      <c r="DQ18">
        <f t="shared" si="40"/>
        <v>99999999</v>
      </c>
      <c r="DR18">
        <f t="shared" si="40"/>
        <v>99999999</v>
      </c>
      <c r="DS18">
        <f t="shared" si="40"/>
        <v>99999999</v>
      </c>
      <c r="DT18">
        <f t="shared" si="40"/>
        <v>99999999</v>
      </c>
      <c r="DU18">
        <f t="shared" si="40"/>
        <v>99999999</v>
      </c>
      <c r="DV18">
        <f t="shared" si="40"/>
        <v>99999999</v>
      </c>
      <c r="DW18">
        <f t="shared" si="40"/>
        <v>99999999</v>
      </c>
      <c r="DX18">
        <f t="shared" si="40"/>
        <v>99999999</v>
      </c>
      <c r="DY18">
        <f t="shared" si="40"/>
        <v>99999999</v>
      </c>
      <c r="DZ18">
        <f t="shared" si="41"/>
        <v>99999999</v>
      </c>
      <c r="EA18">
        <f t="shared" si="41"/>
        <v>99999999</v>
      </c>
      <c r="EB18">
        <f t="shared" si="41"/>
        <v>99999999</v>
      </c>
      <c r="EC18">
        <f t="shared" si="41"/>
        <v>99999999</v>
      </c>
      <c r="ED18">
        <f t="shared" si="41"/>
        <v>99999999</v>
      </c>
      <c r="EE18">
        <f t="shared" si="41"/>
        <v>99999999</v>
      </c>
      <c r="EF18">
        <f t="shared" si="41"/>
        <v>99999999</v>
      </c>
      <c r="EG18">
        <f t="shared" si="41"/>
        <v>99999999</v>
      </c>
      <c r="EH18">
        <f t="shared" si="41"/>
        <v>99999999</v>
      </c>
      <c r="EI18">
        <f t="shared" si="41"/>
        <v>99999999</v>
      </c>
      <c r="EJ18">
        <f t="shared" si="42"/>
        <v>99999999</v>
      </c>
      <c r="EK18">
        <f t="shared" si="42"/>
        <v>99999999</v>
      </c>
      <c r="EL18">
        <f t="shared" si="42"/>
        <v>99999999</v>
      </c>
      <c r="EM18">
        <f t="shared" si="42"/>
        <v>99999999</v>
      </c>
      <c r="EN18">
        <f t="shared" si="42"/>
        <v>99999999</v>
      </c>
      <c r="EO18">
        <f t="shared" si="42"/>
        <v>99999999</v>
      </c>
      <c r="EP18">
        <f t="shared" si="42"/>
        <v>99999999</v>
      </c>
      <c r="EQ18">
        <f t="shared" si="42"/>
        <v>99999999</v>
      </c>
      <c r="ER18">
        <f t="shared" si="42"/>
        <v>99999999</v>
      </c>
      <c r="ES18">
        <f t="shared" si="42"/>
        <v>99999999</v>
      </c>
      <c r="ET18">
        <f t="shared" si="43"/>
        <v>99999999</v>
      </c>
      <c r="EU18">
        <f t="shared" si="43"/>
        <v>99999999</v>
      </c>
      <c r="EV18">
        <f t="shared" si="43"/>
        <v>99999999</v>
      </c>
      <c r="EW18">
        <f t="shared" si="43"/>
        <v>99999999</v>
      </c>
      <c r="EX18">
        <f t="shared" si="43"/>
        <v>99999999</v>
      </c>
      <c r="EY18">
        <f t="shared" si="43"/>
        <v>99999999</v>
      </c>
      <c r="EZ18">
        <f t="shared" si="43"/>
        <v>99999999</v>
      </c>
      <c r="FA18">
        <f t="shared" si="43"/>
        <v>99999999</v>
      </c>
      <c r="FB18">
        <f t="shared" si="43"/>
        <v>99999999</v>
      </c>
      <c r="FC18">
        <f t="shared" si="43"/>
        <v>99999999</v>
      </c>
      <c r="FD18">
        <f t="shared" si="44"/>
        <v>99999999</v>
      </c>
      <c r="FE18">
        <f t="shared" si="44"/>
        <v>99999999</v>
      </c>
      <c r="FF18">
        <f t="shared" si="44"/>
        <v>99999999</v>
      </c>
      <c r="FG18">
        <f t="shared" si="44"/>
        <v>99999999</v>
      </c>
      <c r="FH18">
        <f t="shared" si="44"/>
        <v>99999999</v>
      </c>
      <c r="FI18">
        <f t="shared" si="44"/>
        <v>99999999</v>
      </c>
      <c r="FJ18">
        <f t="shared" si="44"/>
        <v>99999999</v>
      </c>
      <c r="FK18">
        <f t="shared" si="44"/>
        <v>99999999</v>
      </c>
      <c r="FL18">
        <f t="shared" si="44"/>
        <v>99999999</v>
      </c>
      <c r="FM18">
        <f t="shared" si="44"/>
        <v>99999999</v>
      </c>
      <c r="FN18">
        <f t="shared" si="45"/>
        <v>99999999</v>
      </c>
      <c r="FO18">
        <f t="shared" si="45"/>
        <v>99999999</v>
      </c>
      <c r="FP18">
        <f t="shared" si="45"/>
        <v>99999999</v>
      </c>
      <c r="FQ18">
        <f t="shared" si="45"/>
        <v>99999999</v>
      </c>
      <c r="FR18">
        <f t="shared" si="45"/>
        <v>99999999</v>
      </c>
      <c r="FS18">
        <f t="shared" si="45"/>
        <v>99999999</v>
      </c>
      <c r="FT18">
        <f t="shared" si="45"/>
        <v>99999999</v>
      </c>
      <c r="FU18">
        <f t="shared" si="45"/>
        <v>99999999</v>
      </c>
      <c r="FV18">
        <f t="shared" si="45"/>
        <v>99999999</v>
      </c>
      <c r="FW18">
        <f t="shared" si="45"/>
        <v>99999999</v>
      </c>
      <c r="FX18">
        <f t="shared" si="46"/>
        <v>99999999</v>
      </c>
      <c r="FY18">
        <f t="shared" si="46"/>
        <v>99999999</v>
      </c>
      <c r="FZ18">
        <f t="shared" si="46"/>
        <v>99999999</v>
      </c>
      <c r="GA18">
        <f t="shared" si="46"/>
        <v>99999999</v>
      </c>
      <c r="GB18">
        <f t="shared" si="46"/>
        <v>99999999</v>
      </c>
      <c r="GC18">
        <f t="shared" si="46"/>
        <v>99999999</v>
      </c>
      <c r="GD18">
        <f t="shared" si="46"/>
        <v>99999999</v>
      </c>
      <c r="GE18">
        <f t="shared" si="46"/>
        <v>99999999</v>
      </c>
      <c r="GF18">
        <f t="shared" si="46"/>
        <v>99999999</v>
      </c>
      <c r="GG18">
        <f t="shared" si="46"/>
        <v>99999999</v>
      </c>
      <c r="GH18">
        <f t="shared" si="47"/>
        <v>99999999</v>
      </c>
      <c r="GI18">
        <f t="shared" si="47"/>
        <v>99999999</v>
      </c>
      <c r="GJ18">
        <f t="shared" si="47"/>
        <v>99999999</v>
      </c>
      <c r="GK18">
        <f t="shared" si="47"/>
        <v>99999999</v>
      </c>
      <c r="GL18">
        <f t="shared" si="47"/>
        <v>99999999</v>
      </c>
      <c r="GM18">
        <f t="shared" si="47"/>
        <v>99999999</v>
      </c>
      <c r="GN18">
        <f t="shared" si="47"/>
        <v>99999999</v>
      </c>
      <c r="GO18">
        <f t="shared" si="47"/>
        <v>99999999</v>
      </c>
      <c r="GP18">
        <f t="shared" si="47"/>
        <v>99999999</v>
      </c>
      <c r="GQ18">
        <f t="shared" si="47"/>
        <v>99999999</v>
      </c>
      <c r="GR18">
        <f t="shared" si="48"/>
        <v>99999999</v>
      </c>
      <c r="GS18">
        <f t="shared" si="48"/>
        <v>99999999</v>
      </c>
      <c r="GT18">
        <f t="shared" si="48"/>
        <v>99999999</v>
      </c>
      <c r="GU18">
        <f t="shared" si="48"/>
        <v>99999999</v>
      </c>
      <c r="GV18">
        <f t="shared" si="48"/>
        <v>99999999</v>
      </c>
      <c r="GW18">
        <f t="shared" si="48"/>
        <v>99999999</v>
      </c>
      <c r="GX18">
        <f t="shared" si="48"/>
        <v>99999999</v>
      </c>
      <c r="GY18">
        <f t="shared" si="48"/>
        <v>99999999</v>
      </c>
      <c r="GZ18">
        <f t="shared" si="48"/>
        <v>99999999</v>
      </c>
      <c r="HA18">
        <f t="shared" si="48"/>
        <v>99999999</v>
      </c>
      <c r="HB18">
        <f t="shared" si="49"/>
        <v>99999999</v>
      </c>
      <c r="HC18">
        <f t="shared" si="49"/>
        <v>99999999</v>
      </c>
      <c r="HD18">
        <f t="shared" si="49"/>
        <v>99999999</v>
      </c>
      <c r="HE18">
        <f t="shared" si="49"/>
        <v>99999999</v>
      </c>
      <c r="HF18">
        <f t="shared" si="49"/>
        <v>99999999</v>
      </c>
      <c r="HG18">
        <f t="shared" si="49"/>
        <v>99999999</v>
      </c>
      <c r="HH18">
        <f t="shared" si="49"/>
        <v>99999999</v>
      </c>
      <c r="HI18">
        <f t="shared" si="49"/>
        <v>99999999</v>
      </c>
      <c r="HJ18">
        <f t="shared" si="49"/>
        <v>99999999</v>
      </c>
      <c r="HK18">
        <f t="shared" si="49"/>
        <v>99999999</v>
      </c>
      <c r="HL18">
        <f t="shared" si="50"/>
        <v>99999999</v>
      </c>
      <c r="HM18">
        <f t="shared" si="50"/>
        <v>99999999</v>
      </c>
      <c r="HN18">
        <f t="shared" si="50"/>
        <v>99999999</v>
      </c>
      <c r="HO18">
        <f t="shared" si="50"/>
        <v>99999999</v>
      </c>
      <c r="HP18">
        <f t="shared" si="50"/>
        <v>99999999</v>
      </c>
      <c r="HQ18">
        <f t="shared" si="50"/>
        <v>99999999</v>
      </c>
      <c r="HR18">
        <f t="shared" si="50"/>
        <v>99999999</v>
      </c>
      <c r="HS18">
        <f t="shared" si="50"/>
        <v>99999999</v>
      </c>
      <c r="HT18">
        <f t="shared" si="50"/>
        <v>99999999</v>
      </c>
      <c r="HU18">
        <f t="shared" si="50"/>
        <v>99999999</v>
      </c>
      <c r="HV18">
        <f t="shared" si="51"/>
        <v>99999999</v>
      </c>
      <c r="HW18">
        <f t="shared" si="51"/>
        <v>99999999</v>
      </c>
      <c r="HX18">
        <f t="shared" si="51"/>
        <v>99999999</v>
      </c>
      <c r="HY18">
        <f t="shared" si="51"/>
        <v>99999999</v>
      </c>
      <c r="HZ18">
        <f t="shared" si="51"/>
        <v>99999999</v>
      </c>
      <c r="IA18">
        <f t="shared" si="51"/>
        <v>99999999</v>
      </c>
      <c r="IB18">
        <f t="shared" si="51"/>
        <v>99999999</v>
      </c>
      <c r="IC18">
        <f t="shared" si="51"/>
        <v>99999999</v>
      </c>
      <c r="ID18">
        <f t="shared" si="51"/>
        <v>99999999</v>
      </c>
      <c r="IE18">
        <f t="shared" si="51"/>
        <v>99999999</v>
      </c>
      <c r="IF18">
        <f t="shared" si="52"/>
        <v>99999999</v>
      </c>
      <c r="IG18">
        <f t="shared" si="52"/>
        <v>99999999</v>
      </c>
      <c r="IH18">
        <f t="shared" si="52"/>
        <v>99999999</v>
      </c>
      <c r="II18">
        <f t="shared" si="52"/>
        <v>99999999</v>
      </c>
      <c r="IJ18">
        <f t="shared" si="52"/>
        <v>99999999</v>
      </c>
      <c r="IK18">
        <f t="shared" si="52"/>
        <v>99999999</v>
      </c>
      <c r="IL18">
        <f t="shared" si="52"/>
        <v>99999999</v>
      </c>
      <c r="IM18">
        <f t="shared" si="52"/>
        <v>99999999</v>
      </c>
      <c r="IN18">
        <f t="shared" si="52"/>
        <v>99999999</v>
      </c>
      <c r="IO18">
        <f t="shared" si="52"/>
        <v>99999999</v>
      </c>
      <c r="IP18">
        <f t="shared" si="53"/>
        <v>99999999</v>
      </c>
      <c r="IQ18">
        <f t="shared" si="53"/>
        <v>99999999</v>
      </c>
      <c r="IR18">
        <f t="shared" si="53"/>
        <v>99999999</v>
      </c>
      <c r="IS18">
        <f t="shared" si="53"/>
        <v>99999999</v>
      </c>
      <c r="IT18">
        <f t="shared" si="53"/>
        <v>99999999</v>
      </c>
      <c r="IU18">
        <f t="shared" si="53"/>
        <v>99999999</v>
      </c>
      <c r="IV18">
        <f t="shared" si="53"/>
        <v>99999999</v>
      </c>
      <c r="IW18">
        <f t="shared" si="53"/>
        <v>99999999</v>
      </c>
      <c r="IX18">
        <f t="shared" si="53"/>
        <v>99999999</v>
      </c>
      <c r="IY18">
        <f t="shared" si="53"/>
        <v>99999999</v>
      </c>
    </row>
    <row r="19" spans="1:259" x14ac:dyDescent="0.3">
      <c r="A19">
        <f>CAMBIOS!A19</f>
        <v>50</v>
      </c>
      <c r="B19">
        <f>IF(D19=1,CAMBIOS!P19*Valor_1+CAMBIOS!Q19*Valor_2+CAMBIOS!R19*Valor_3,IF(CAMBIOS!P19=1,Valor_1,Valor_2))</f>
        <v>7</v>
      </c>
      <c r="C19">
        <f>IF(D19=1,0,IF(CAMBIOS!R19=1,Valor_3,Valor_2))</f>
        <v>0</v>
      </c>
      <c r="D19">
        <f>CAMBIOS!P19+CAMBIOS!Q19+CAMBIOS!R19</f>
        <v>1</v>
      </c>
      <c r="E19">
        <f t="shared" si="0"/>
        <v>99999999</v>
      </c>
      <c r="F19">
        <f t="shared" si="1"/>
        <v>7</v>
      </c>
      <c r="G19">
        <f t="shared" si="2"/>
        <v>0</v>
      </c>
      <c r="H19">
        <f t="shared" si="3"/>
        <v>1</v>
      </c>
      <c r="J19">
        <f t="shared" si="29"/>
        <v>99999999</v>
      </c>
      <c r="K19">
        <f t="shared" si="29"/>
        <v>99999999</v>
      </c>
      <c r="L19">
        <f t="shared" si="29"/>
        <v>99999999</v>
      </c>
      <c r="M19">
        <f t="shared" si="29"/>
        <v>99999999</v>
      </c>
      <c r="N19">
        <f t="shared" si="29"/>
        <v>99999999</v>
      </c>
      <c r="O19">
        <f t="shared" si="29"/>
        <v>99999999</v>
      </c>
      <c r="P19">
        <f t="shared" si="29"/>
        <v>99999999</v>
      </c>
      <c r="Q19">
        <f t="shared" si="29"/>
        <v>99999999</v>
      </c>
      <c r="R19">
        <f t="shared" si="29"/>
        <v>99999999</v>
      </c>
      <c r="S19">
        <f t="shared" si="29"/>
        <v>99999999</v>
      </c>
      <c r="T19">
        <f t="shared" si="30"/>
        <v>99999999</v>
      </c>
      <c r="U19">
        <f t="shared" si="30"/>
        <v>99999999</v>
      </c>
      <c r="V19">
        <f t="shared" si="30"/>
        <v>99999999</v>
      </c>
      <c r="W19">
        <f t="shared" si="30"/>
        <v>99999999</v>
      </c>
      <c r="X19">
        <f t="shared" si="30"/>
        <v>99999999</v>
      </c>
      <c r="Y19">
        <f t="shared" si="30"/>
        <v>99999999</v>
      </c>
      <c r="Z19">
        <f t="shared" si="30"/>
        <v>99999999</v>
      </c>
      <c r="AA19">
        <f t="shared" si="30"/>
        <v>99999999</v>
      </c>
      <c r="AB19">
        <f t="shared" si="30"/>
        <v>99999999</v>
      </c>
      <c r="AC19">
        <f t="shared" si="30"/>
        <v>99999999</v>
      </c>
      <c r="AD19">
        <f t="shared" si="31"/>
        <v>99999999</v>
      </c>
      <c r="AE19">
        <f t="shared" si="31"/>
        <v>99999999</v>
      </c>
      <c r="AF19">
        <f t="shared" si="31"/>
        <v>99999999</v>
      </c>
      <c r="AG19">
        <f t="shared" si="31"/>
        <v>99999999</v>
      </c>
      <c r="AH19">
        <f t="shared" si="31"/>
        <v>99999999</v>
      </c>
      <c r="AI19">
        <f t="shared" si="31"/>
        <v>99999999</v>
      </c>
      <c r="AJ19">
        <f t="shared" si="31"/>
        <v>99999999</v>
      </c>
      <c r="AK19">
        <f t="shared" si="31"/>
        <v>99999999</v>
      </c>
      <c r="AL19">
        <f t="shared" si="31"/>
        <v>99999999</v>
      </c>
      <c r="AM19">
        <f t="shared" si="31"/>
        <v>99999999</v>
      </c>
      <c r="AN19">
        <f t="shared" si="32"/>
        <v>99999999</v>
      </c>
      <c r="AO19">
        <f t="shared" si="32"/>
        <v>99999999</v>
      </c>
      <c r="AP19">
        <f t="shared" si="32"/>
        <v>99999999</v>
      </c>
      <c r="AQ19">
        <f t="shared" si="32"/>
        <v>99999999</v>
      </c>
      <c r="AR19">
        <f t="shared" si="32"/>
        <v>99999999</v>
      </c>
      <c r="AS19">
        <f t="shared" si="32"/>
        <v>99999999</v>
      </c>
      <c r="AT19">
        <f t="shared" si="32"/>
        <v>99999999</v>
      </c>
      <c r="AU19">
        <f t="shared" si="32"/>
        <v>99999999</v>
      </c>
      <c r="AV19">
        <f t="shared" si="32"/>
        <v>99999999</v>
      </c>
      <c r="AW19">
        <f t="shared" si="32"/>
        <v>99999999</v>
      </c>
      <c r="AX19">
        <f t="shared" si="33"/>
        <v>99999999</v>
      </c>
      <c r="AY19">
        <f t="shared" si="33"/>
        <v>99999999</v>
      </c>
      <c r="AZ19">
        <f t="shared" si="33"/>
        <v>99999999</v>
      </c>
      <c r="BA19">
        <f t="shared" si="33"/>
        <v>99999999</v>
      </c>
      <c r="BB19">
        <f t="shared" si="33"/>
        <v>99999999</v>
      </c>
      <c r="BC19">
        <f t="shared" si="33"/>
        <v>99999999</v>
      </c>
      <c r="BD19">
        <f t="shared" si="33"/>
        <v>99999999</v>
      </c>
      <c r="BE19">
        <f t="shared" si="33"/>
        <v>99999999</v>
      </c>
      <c r="BF19">
        <f t="shared" si="33"/>
        <v>99999999</v>
      </c>
      <c r="BG19">
        <f t="shared" si="33"/>
        <v>99999999</v>
      </c>
      <c r="BH19">
        <f t="shared" si="34"/>
        <v>99999999</v>
      </c>
      <c r="BI19">
        <f t="shared" si="34"/>
        <v>99999999</v>
      </c>
      <c r="BJ19">
        <f t="shared" si="34"/>
        <v>99999999</v>
      </c>
      <c r="BK19">
        <f t="shared" si="34"/>
        <v>99999999</v>
      </c>
      <c r="BL19">
        <f t="shared" si="34"/>
        <v>99999999</v>
      </c>
      <c r="BM19">
        <f t="shared" si="34"/>
        <v>99999999</v>
      </c>
      <c r="BN19">
        <f t="shared" si="34"/>
        <v>99999999</v>
      </c>
      <c r="BO19">
        <f t="shared" si="34"/>
        <v>99999999</v>
      </c>
      <c r="BP19">
        <f t="shared" si="34"/>
        <v>99999999</v>
      </c>
      <c r="BQ19">
        <f t="shared" si="34"/>
        <v>99999999</v>
      </c>
      <c r="BR19">
        <f t="shared" si="35"/>
        <v>99999999</v>
      </c>
      <c r="BS19">
        <f t="shared" si="35"/>
        <v>99999999</v>
      </c>
      <c r="BT19">
        <f t="shared" si="35"/>
        <v>99999999</v>
      </c>
      <c r="BU19">
        <f t="shared" si="35"/>
        <v>99999999</v>
      </c>
      <c r="BV19">
        <f t="shared" si="35"/>
        <v>99999999</v>
      </c>
      <c r="BW19">
        <f t="shared" si="35"/>
        <v>99999999</v>
      </c>
      <c r="BX19">
        <f t="shared" si="35"/>
        <v>99999999</v>
      </c>
      <c r="BY19">
        <f t="shared" si="35"/>
        <v>99999999</v>
      </c>
      <c r="BZ19">
        <f t="shared" si="35"/>
        <v>99999999</v>
      </c>
      <c r="CA19">
        <f t="shared" si="35"/>
        <v>99999999</v>
      </c>
      <c r="CB19">
        <f t="shared" si="36"/>
        <v>99999999</v>
      </c>
      <c r="CC19">
        <f t="shared" si="36"/>
        <v>99999999</v>
      </c>
      <c r="CD19">
        <f t="shared" si="36"/>
        <v>99999999</v>
      </c>
      <c r="CE19">
        <f t="shared" si="36"/>
        <v>99999999</v>
      </c>
      <c r="CF19">
        <f t="shared" si="36"/>
        <v>99999999</v>
      </c>
      <c r="CG19">
        <f t="shared" si="36"/>
        <v>99999999</v>
      </c>
      <c r="CH19">
        <f t="shared" si="36"/>
        <v>99999999</v>
      </c>
      <c r="CI19">
        <f t="shared" si="36"/>
        <v>99999999</v>
      </c>
      <c r="CJ19">
        <f t="shared" si="36"/>
        <v>99999999</v>
      </c>
      <c r="CK19">
        <f t="shared" si="36"/>
        <v>99999999</v>
      </c>
      <c r="CL19">
        <f t="shared" si="37"/>
        <v>99999999</v>
      </c>
      <c r="CM19">
        <f t="shared" si="37"/>
        <v>99999999</v>
      </c>
      <c r="CN19">
        <f t="shared" si="37"/>
        <v>99999999</v>
      </c>
      <c r="CO19">
        <f t="shared" si="37"/>
        <v>99999999</v>
      </c>
      <c r="CP19">
        <f t="shared" si="37"/>
        <v>99999999</v>
      </c>
      <c r="CQ19">
        <f t="shared" si="37"/>
        <v>99999999</v>
      </c>
      <c r="CR19">
        <f t="shared" si="37"/>
        <v>99999999</v>
      </c>
      <c r="CS19">
        <f t="shared" si="37"/>
        <v>99999999</v>
      </c>
      <c r="CT19">
        <f t="shared" si="37"/>
        <v>99999999</v>
      </c>
      <c r="CU19">
        <f t="shared" si="37"/>
        <v>99999999</v>
      </c>
      <c r="CV19">
        <f t="shared" si="38"/>
        <v>99999999</v>
      </c>
      <c r="CW19">
        <f t="shared" si="38"/>
        <v>99999999</v>
      </c>
      <c r="CX19">
        <f t="shared" si="38"/>
        <v>99999999</v>
      </c>
      <c r="CY19">
        <f t="shared" si="38"/>
        <v>99999999</v>
      </c>
      <c r="CZ19">
        <f t="shared" si="38"/>
        <v>99999999</v>
      </c>
      <c r="DA19">
        <f t="shared" si="38"/>
        <v>99999999</v>
      </c>
      <c r="DB19">
        <f t="shared" si="38"/>
        <v>99999999</v>
      </c>
      <c r="DC19">
        <f t="shared" si="38"/>
        <v>99999999</v>
      </c>
      <c r="DD19">
        <f t="shared" si="38"/>
        <v>99999999</v>
      </c>
      <c r="DE19">
        <f t="shared" si="38"/>
        <v>99999999</v>
      </c>
      <c r="DF19">
        <f t="shared" si="39"/>
        <v>99999999</v>
      </c>
      <c r="DG19">
        <f t="shared" si="39"/>
        <v>99999999</v>
      </c>
      <c r="DH19">
        <f t="shared" si="39"/>
        <v>99999999</v>
      </c>
      <c r="DI19">
        <f t="shared" si="39"/>
        <v>99999999</v>
      </c>
      <c r="DJ19">
        <f t="shared" si="39"/>
        <v>99999999</v>
      </c>
      <c r="DK19">
        <f t="shared" si="39"/>
        <v>99999999</v>
      </c>
      <c r="DL19">
        <f t="shared" si="39"/>
        <v>99999999</v>
      </c>
      <c r="DM19">
        <f t="shared" si="39"/>
        <v>99999999</v>
      </c>
      <c r="DN19">
        <f t="shared" si="39"/>
        <v>99999999</v>
      </c>
      <c r="DO19">
        <f t="shared" si="39"/>
        <v>99999999</v>
      </c>
      <c r="DP19">
        <f t="shared" si="40"/>
        <v>99999999</v>
      </c>
      <c r="DQ19">
        <f t="shared" si="40"/>
        <v>99999999</v>
      </c>
      <c r="DR19">
        <f t="shared" si="40"/>
        <v>99999999</v>
      </c>
      <c r="DS19">
        <f t="shared" si="40"/>
        <v>99999999</v>
      </c>
      <c r="DT19">
        <f t="shared" si="40"/>
        <v>99999999</v>
      </c>
      <c r="DU19">
        <f t="shared" si="40"/>
        <v>99999999</v>
      </c>
      <c r="DV19">
        <f t="shared" si="40"/>
        <v>99999999</v>
      </c>
      <c r="DW19">
        <f t="shared" si="40"/>
        <v>99999999</v>
      </c>
      <c r="DX19">
        <f t="shared" si="40"/>
        <v>99999999</v>
      </c>
      <c r="DY19">
        <f t="shared" si="40"/>
        <v>99999999</v>
      </c>
      <c r="DZ19">
        <f t="shared" si="41"/>
        <v>99999999</v>
      </c>
      <c r="EA19">
        <f t="shared" si="41"/>
        <v>99999999</v>
      </c>
      <c r="EB19">
        <f t="shared" si="41"/>
        <v>99999999</v>
      </c>
      <c r="EC19">
        <f t="shared" si="41"/>
        <v>99999999</v>
      </c>
      <c r="ED19">
        <f t="shared" si="41"/>
        <v>99999999</v>
      </c>
      <c r="EE19">
        <f t="shared" si="41"/>
        <v>99999999</v>
      </c>
      <c r="EF19">
        <f t="shared" si="41"/>
        <v>99999999</v>
      </c>
      <c r="EG19">
        <f t="shared" si="41"/>
        <v>99999999</v>
      </c>
      <c r="EH19">
        <f t="shared" si="41"/>
        <v>99999999</v>
      </c>
      <c r="EI19">
        <f t="shared" si="41"/>
        <v>99999999</v>
      </c>
      <c r="EJ19">
        <f t="shared" si="42"/>
        <v>99999999</v>
      </c>
      <c r="EK19">
        <f t="shared" si="42"/>
        <v>99999999</v>
      </c>
      <c r="EL19">
        <f t="shared" si="42"/>
        <v>99999999</v>
      </c>
      <c r="EM19">
        <f t="shared" si="42"/>
        <v>99999999</v>
      </c>
      <c r="EN19">
        <f t="shared" si="42"/>
        <v>99999999</v>
      </c>
      <c r="EO19">
        <f t="shared" si="42"/>
        <v>99999999</v>
      </c>
      <c r="EP19">
        <f t="shared" si="42"/>
        <v>99999999</v>
      </c>
      <c r="EQ19">
        <f t="shared" si="42"/>
        <v>99999999</v>
      </c>
      <c r="ER19">
        <f t="shared" si="42"/>
        <v>99999999</v>
      </c>
      <c r="ES19">
        <f t="shared" si="42"/>
        <v>99999999</v>
      </c>
      <c r="ET19">
        <f t="shared" si="43"/>
        <v>99999999</v>
      </c>
      <c r="EU19">
        <f t="shared" si="43"/>
        <v>99999999</v>
      </c>
      <c r="EV19">
        <f t="shared" si="43"/>
        <v>99999999</v>
      </c>
      <c r="EW19">
        <f t="shared" si="43"/>
        <v>99999999</v>
      </c>
      <c r="EX19">
        <f t="shared" si="43"/>
        <v>99999999</v>
      </c>
      <c r="EY19">
        <f t="shared" si="43"/>
        <v>99999999</v>
      </c>
      <c r="EZ19">
        <f t="shared" si="43"/>
        <v>99999999</v>
      </c>
      <c r="FA19">
        <f t="shared" si="43"/>
        <v>99999999</v>
      </c>
      <c r="FB19">
        <f t="shared" si="43"/>
        <v>99999999</v>
      </c>
      <c r="FC19">
        <f t="shared" si="43"/>
        <v>99999999</v>
      </c>
      <c r="FD19">
        <f t="shared" si="44"/>
        <v>99999999</v>
      </c>
      <c r="FE19">
        <f t="shared" si="44"/>
        <v>99999999</v>
      </c>
      <c r="FF19">
        <f t="shared" si="44"/>
        <v>99999999</v>
      </c>
      <c r="FG19">
        <f t="shared" si="44"/>
        <v>99999999</v>
      </c>
      <c r="FH19">
        <f t="shared" si="44"/>
        <v>99999999</v>
      </c>
      <c r="FI19">
        <f t="shared" si="44"/>
        <v>99999999</v>
      </c>
      <c r="FJ19">
        <f t="shared" si="44"/>
        <v>99999999</v>
      </c>
      <c r="FK19">
        <f t="shared" si="44"/>
        <v>99999999</v>
      </c>
      <c r="FL19">
        <f t="shared" si="44"/>
        <v>99999999</v>
      </c>
      <c r="FM19">
        <f t="shared" si="44"/>
        <v>99999999</v>
      </c>
      <c r="FN19">
        <f t="shared" si="45"/>
        <v>99999999</v>
      </c>
      <c r="FO19">
        <f t="shared" si="45"/>
        <v>99999999</v>
      </c>
      <c r="FP19">
        <f t="shared" si="45"/>
        <v>99999999</v>
      </c>
      <c r="FQ19">
        <f t="shared" si="45"/>
        <v>99999999</v>
      </c>
      <c r="FR19">
        <f t="shared" si="45"/>
        <v>99999999</v>
      </c>
      <c r="FS19">
        <f t="shared" si="45"/>
        <v>99999999</v>
      </c>
      <c r="FT19">
        <f t="shared" si="45"/>
        <v>99999999</v>
      </c>
      <c r="FU19">
        <f t="shared" si="45"/>
        <v>99999999</v>
      </c>
      <c r="FV19">
        <f t="shared" si="45"/>
        <v>99999999</v>
      </c>
      <c r="FW19">
        <f t="shared" si="45"/>
        <v>99999999</v>
      </c>
      <c r="FX19">
        <f t="shared" si="46"/>
        <v>99999999</v>
      </c>
      <c r="FY19">
        <f t="shared" si="46"/>
        <v>99999999</v>
      </c>
      <c r="FZ19">
        <f t="shared" si="46"/>
        <v>99999999</v>
      </c>
      <c r="GA19">
        <f t="shared" si="46"/>
        <v>99999999</v>
      </c>
      <c r="GB19">
        <f t="shared" si="46"/>
        <v>99999999</v>
      </c>
      <c r="GC19">
        <f t="shared" si="46"/>
        <v>99999999</v>
      </c>
      <c r="GD19">
        <f t="shared" si="46"/>
        <v>99999999</v>
      </c>
      <c r="GE19">
        <f t="shared" si="46"/>
        <v>99999999</v>
      </c>
      <c r="GF19">
        <f t="shared" si="46"/>
        <v>99999999</v>
      </c>
      <c r="GG19">
        <f t="shared" si="46"/>
        <v>99999999</v>
      </c>
      <c r="GH19">
        <f t="shared" si="47"/>
        <v>99999999</v>
      </c>
      <c r="GI19">
        <f t="shared" si="47"/>
        <v>99999999</v>
      </c>
      <c r="GJ19">
        <f t="shared" si="47"/>
        <v>99999999</v>
      </c>
      <c r="GK19">
        <f t="shared" si="47"/>
        <v>99999999</v>
      </c>
      <c r="GL19">
        <f t="shared" si="47"/>
        <v>99999999</v>
      </c>
      <c r="GM19">
        <f t="shared" si="47"/>
        <v>99999999</v>
      </c>
      <c r="GN19">
        <f t="shared" si="47"/>
        <v>99999999</v>
      </c>
      <c r="GO19">
        <f t="shared" si="47"/>
        <v>99999999</v>
      </c>
      <c r="GP19">
        <f t="shared" si="47"/>
        <v>99999999</v>
      </c>
      <c r="GQ19">
        <f t="shared" si="47"/>
        <v>99999999</v>
      </c>
      <c r="GR19">
        <f t="shared" si="48"/>
        <v>99999999</v>
      </c>
      <c r="GS19">
        <f t="shared" si="48"/>
        <v>99999999</v>
      </c>
      <c r="GT19">
        <f t="shared" si="48"/>
        <v>99999999</v>
      </c>
      <c r="GU19">
        <f t="shared" si="48"/>
        <v>99999999</v>
      </c>
      <c r="GV19">
        <f t="shared" si="48"/>
        <v>99999999</v>
      </c>
      <c r="GW19">
        <f t="shared" si="48"/>
        <v>99999999</v>
      </c>
      <c r="GX19">
        <f t="shared" si="48"/>
        <v>99999999</v>
      </c>
      <c r="GY19">
        <f t="shared" si="48"/>
        <v>99999999</v>
      </c>
      <c r="GZ19">
        <f t="shared" si="48"/>
        <v>99999999</v>
      </c>
      <c r="HA19">
        <f t="shared" si="48"/>
        <v>99999999</v>
      </c>
      <c r="HB19">
        <f t="shared" si="49"/>
        <v>99999999</v>
      </c>
      <c r="HC19">
        <f t="shared" si="49"/>
        <v>99999999</v>
      </c>
      <c r="HD19">
        <f t="shared" si="49"/>
        <v>99999999</v>
      </c>
      <c r="HE19">
        <f t="shared" si="49"/>
        <v>99999999</v>
      </c>
      <c r="HF19">
        <f t="shared" si="49"/>
        <v>99999999</v>
      </c>
      <c r="HG19">
        <f t="shared" si="49"/>
        <v>99999999</v>
      </c>
      <c r="HH19">
        <f t="shared" si="49"/>
        <v>99999999</v>
      </c>
      <c r="HI19">
        <f t="shared" si="49"/>
        <v>99999999</v>
      </c>
      <c r="HJ19">
        <f t="shared" si="49"/>
        <v>99999999</v>
      </c>
      <c r="HK19">
        <f t="shared" si="49"/>
        <v>99999999</v>
      </c>
      <c r="HL19">
        <f t="shared" si="50"/>
        <v>99999999</v>
      </c>
      <c r="HM19">
        <f t="shared" si="50"/>
        <v>99999999</v>
      </c>
      <c r="HN19">
        <f t="shared" si="50"/>
        <v>99999999</v>
      </c>
      <c r="HO19">
        <f t="shared" si="50"/>
        <v>99999999</v>
      </c>
      <c r="HP19">
        <f t="shared" si="50"/>
        <v>99999999</v>
      </c>
      <c r="HQ19">
        <f t="shared" si="50"/>
        <v>99999999</v>
      </c>
      <c r="HR19">
        <f t="shared" si="50"/>
        <v>99999999</v>
      </c>
      <c r="HS19">
        <f t="shared" si="50"/>
        <v>99999999</v>
      </c>
      <c r="HT19">
        <f t="shared" si="50"/>
        <v>99999999</v>
      </c>
      <c r="HU19">
        <f t="shared" si="50"/>
        <v>99999999</v>
      </c>
      <c r="HV19">
        <f t="shared" si="51"/>
        <v>99999999</v>
      </c>
      <c r="HW19">
        <f t="shared" si="51"/>
        <v>99999999</v>
      </c>
      <c r="HX19">
        <f t="shared" si="51"/>
        <v>99999999</v>
      </c>
      <c r="HY19">
        <f t="shared" si="51"/>
        <v>99999999</v>
      </c>
      <c r="HZ19">
        <f t="shared" si="51"/>
        <v>99999999</v>
      </c>
      <c r="IA19">
        <f t="shared" si="51"/>
        <v>99999999</v>
      </c>
      <c r="IB19">
        <f t="shared" si="51"/>
        <v>99999999</v>
      </c>
      <c r="IC19">
        <f t="shared" si="51"/>
        <v>99999999</v>
      </c>
      <c r="ID19">
        <f t="shared" si="51"/>
        <v>99999999</v>
      </c>
      <c r="IE19">
        <f t="shared" si="51"/>
        <v>99999999</v>
      </c>
      <c r="IF19">
        <f t="shared" si="52"/>
        <v>99999999</v>
      </c>
      <c r="IG19">
        <f t="shared" si="52"/>
        <v>99999999</v>
      </c>
      <c r="IH19">
        <f t="shared" si="52"/>
        <v>99999999</v>
      </c>
      <c r="II19">
        <f t="shared" si="52"/>
        <v>99999999</v>
      </c>
      <c r="IJ19">
        <f t="shared" si="52"/>
        <v>99999999</v>
      </c>
      <c r="IK19">
        <f t="shared" si="52"/>
        <v>99999999</v>
      </c>
      <c r="IL19">
        <f t="shared" si="52"/>
        <v>99999999</v>
      </c>
      <c r="IM19">
        <f t="shared" si="52"/>
        <v>99999999</v>
      </c>
      <c r="IN19">
        <f t="shared" si="52"/>
        <v>99999999</v>
      </c>
      <c r="IO19">
        <f t="shared" si="52"/>
        <v>99999999</v>
      </c>
      <c r="IP19">
        <f t="shared" si="53"/>
        <v>99999999</v>
      </c>
      <c r="IQ19">
        <f t="shared" si="53"/>
        <v>99999999</v>
      </c>
      <c r="IR19">
        <f t="shared" si="53"/>
        <v>99999999</v>
      </c>
      <c r="IS19">
        <f t="shared" si="53"/>
        <v>99999999</v>
      </c>
      <c r="IT19">
        <f t="shared" si="53"/>
        <v>99999999</v>
      </c>
      <c r="IU19">
        <f t="shared" si="53"/>
        <v>99999999</v>
      </c>
      <c r="IV19">
        <f t="shared" si="53"/>
        <v>99999999</v>
      </c>
      <c r="IW19">
        <f t="shared" si="53"/>
        <v>99999999</v>
      </c>
      <c r="IX19">
        <f t="shared" si="53"/>
        <v>99999999</v>
      </c>
      <c r="IY19">
        <f t="shared" si="53"/>
        <v>99999999</v>
      </c>
    </row>
    <row r="20" spans="1:259" x14ac:dyDescent="0.3">
      <c r="A20">
        <f>CAMBIOS!A20</f>
        <v>50</v>
      </c>
      <c r="B20">
        <f>IF(D20=1,CAMBIOS!P20*Valor_1+CAMBIOS!Q20*Valor_2+CAMBIOS!R20*Valor_3,IF(CAMBIOS!P20=1,Valor_1,Valor_2))</f>
        <v>3</v>
      </c>
      <c r="C20">
        <f>IF(D20=1,0,IF(CAMBIOS!R20=1,Valor_3,Valor_2))</f>
        <v>5</v>
      </c>
      <c r="D20">
        <f>CAMBIOS!P20+CAMBIOS!Q20+CAMBIOS!R20</f>
        <v>2</v>
      </c>
      <c r="E20">
        <f t="shared" si="0"/>
        <v>9984</v>
      </c>
      <c r="F20">
        <f t="shared" si="1"/>
        <v>15</v>
      </c>
      <c r="G20">
        <f t="shared" si="2"/>
        <v>1</v>
      </c>
      <c r="H20">
        <f t="shared" si="3"/>
        <v>0</v>
      </c>
      <c r="J20">
        <f t="shared" si="29"/>
        <v>209990</v>
      </c>
      <c r="K20">
        <f t="shared" si="29"/>
        <v>409990</v>
      </c>
      <c r="L20">
        <f t="shared" si="29"/>
        <v>109989</v>
      </c>
      <c r="M20">
        <f t="shared" si="29"/>
        <v>309989</v>
      </c>
      <c r="N20">
        <f t="shared" si="29"/>
        <v>9988</v>
      </c>
      <c r="O20">
        <f t="shared" si="29"/>
        <v>209988</v>
      </c>
      <c r="P20">
        <f t="shared" si="29"/>
        <v>409988</v>
      </c>
      <c r="Q20">
        <f t="shared" si="29"/>
        <v>109987</v>
      </c>
      <c r="R20">
        <f t="shared" si="29"/>
        <v>309987</v>
      </c>
      <c r="S20">
        <f t="shared" si="29"/>
        <v>9986</v>
      </c>
      <c r="T20">
        <f t="shared" si="30"/>
        <v>209986</v>
      </c>
      <c r="U20">
        <f t="shared" si="30"/>
        <v>409986</v>
      </c>
      <c r="V20">
        <f t="shared" si="30"/>
        <v>109985</v>
      </c>
      <c r="W20">
        <f t="shared" si="30"/>
        <v>309985</v>
      </c>
      <c r="X20">
        <f t="shared" si="30"/>
        <v>9984</v>
      </c>
      <c r="Y20">
        <f t="shared" si="30"/>
        <v>99999999</v>
      </c>
      <c r="Z20">
        <f t="shared" si="30"/>
        <v>99999999</v>
      </c>
      <c r="AA20">
        <f t="shared" si="30"/>
        <v>99999999</v>
      </c>
      <c r="AB20">
        <f t="shared" si="30"/>
        <v>99999999</v>
      </c>
      <c r="AC20">
        <f t="shared" si="30"/>
        <v>99999999</v>
      </c>
      <c r="AD20">
        <f t="shared" si="31"/>
        <v>99999999</v>
      </c>
      <c r="AE20">
        <f t="shared" si="31"/>
        <v>99999999</v>
      </c>
      <c r="AF20">
        <f t="shared" si="31"/>
        <v>99999999</v>
      </c>
      <c r="AG20">
        <f t="shared" si="31"/>
        <v>99999999</v>
      </c>
      <c r="AH20">
        <f t="shared" si="31"/>
        <v>99999999</v>
      </c>
      <c r="AI20">
        <f t="shared" si="31"/>
        <v>99999999</v>
      </c>
      <c r="AJ20">
        <f t="shared" si="31"/>
        <v>99999999</v>
      </c>
      <c r="AK20">
        <f t="shared" si="31"/>
        <v>99999999</v>
      </c>
      <c r="AL20">
        <f t="shared" si="31"/>
        <v>99999999</v>
      </c>
      <c r="AM20">
        <f t="shared" si="31"/>
        <v>99999999</v>
      </c>
      <c r="AN20">
        <f t="shared" si="32"/>
        <v>99999999</v>
      </c>
      <c r="AO20">
        <f t="shared" si="32"/>
        <v>99999999</v>
      </c>
      <c r="AP20">
        <f t="shared" si="32"/>
        <v>99999999</v>
      </c>
      <c r="AQ20">
        <f t="shared" si="32"/>
        <v>99999999</v>
      </c>
      <c r="AR20">
        <f t="shared" si="32"/>
        <v>99999999</v>
      </c>
      <c r="AS20">
        <f t="shared" si="32"/>
        <v>99999999</v>
      </c>
      <c r="AT20">
        <f t="shared" si="32"/>
        <v>99999999</v>
      </c>
      <c r="AU20">
        <f t="shared" si="32"/>
        <v>99999999</v>
      </c>
      <c r="AV20">
        <f t="shared" si="32"/>
        <v>99999999</v>
      </c>
      <c r="AW20">
        <f t="shared" si="32"/>
        <v>99999999</v>
      </c>
      <c r="AX20">
        <f t="shared" si="33"/>
        <v>99999999</v>
      </c>
      <c r="AY20">
        <f t="shared" si="33"/>
        <v>99999999</v>
      </c>
      <c r="AZ20">
        <f t="shared" si="33"/>
        <v>99999999</v>
      </c>
      <c r="BA20">
        <f t="shared" si="33"/>
        <v>99999999</v>
      </c>
      <c r="BB20">
        <f t="shared" si="33"/>
        <v>99999999</v>
      </c>
      <c r="BC20">
        <f t="shared" si="33"/>
        <v>99999999</v>
      </c>
      <c r="BD20">
        <f t="shared" si="33"/>
        <v>99999999</v>
      </c>
      <c r="BE20">
        <f t="shared" si="33"/>
        <v>99999999</v>
      </c>
      <c r="BF20">
        <f t="shared" si="33"/>
        <v>99999999</v>
      </c>
      <c r="BG20">
        <f t="shared" si="33"/>
        <v>99999999</v>
      </c>
      <c r="BH20">
        <f t="shared" si="34"/>
        <v>99999999</v>
      </c>
      <c r="BI20">
        <f t="shared" si="34"/>
        <v>99999999</v>
      </c>
      <c r="BJ20">
        <f t="shared" si="34"/>
        <v>99999999</v>
      </c>
      <c r="BK20">
        <f t="shared" si="34"/>
        <v>99999999</v>
      </c>
      <c r="BL20">
        <f t="shared" si="34"/>
        <v>99999999</v>
      </c>
      <c r="BM20">
        <f t="shared" si="34"/>
        <v>99999999</v>
      </c>
      <c r="BN20">
        <f t="shared" si="34"/>
        <v>99999999</v>
      </c>
      <c r="BO20">
        <f t="shared" si="34"/>
        <v>99999999</v>
      </c>
      <c r="BP20">
        <f t="shared" si="34"/>
        <v>99999999</v>
      </c>
      <c r="BQ20">
        <f t="shared" si="34"/>
        <v>99999999</v>
      </c>
      <c r="BR20">
        <f t="shared" si="35"/>
        <v>99999999</v>
      </c>
      <c r="BS20">
        <f t="shared" si="35"/>
        <v>99999999</v>
      </c>
      <c r="BT20">
        <f t="shared" si="35"/>
        <v>99999999</v>
      </c>
      <c r="BU20">
        <f t="shared" si="35"/>
        <v>99999999</v>
      </c>
      <c r="BV20">
        <f t="shared" si="35"/>
        <v>99999999</v>
      </c>
      <c r="BW20">
        <f t="shared" si="35"/>
        <v>99999999</v>
      </c>
      <c r="BX20">
        <f t="shared" si="35"/>
        <v>99999999</v>
      </c>
      <c r="BY20">
        <f t="shared" si="35"/>
        <v>99999999</v>
      </c>
      <c r="BZ20">
        <f t="shared" si="35"/>
        <v>99999999</v>
      </c>
      <c r="CA20">
        <f t="shared" si="35"/>
        <v>99999999</v>
      </c>
      <c r="CB20">
        <f t="shared" si="36"/>
        <v>99999999</v>
      </c>
      <c r="CC20">
        <f t="shared" si="36"/>
        <v>99999999</v>
      </c>
      <c r="CD20">
        <f t="shared" si="36"/>
        <v>99999999</v>
      </c>
      <c r="CE20">
        <f t="shared" si="36"/>
        <v>99999999</v>
      </c>
      <c r="CF20">
        <f t="shared" si="36"/>
        <v>99999999</v>
      </c>
      <c r="CG20">
        <f t="shared" si="36"/>
        <v>99999999</v>
      </c>
      <c r="CH20">
        <f t="shared" si="36"/>
        <v>99999999</v>
      </c>
      <c r="CI20">
        <f t="shared" si="36"/>
        <v>99999999</v>
      </c>
      <c r="CJ20">
        <f t="shared" si="36"/>
        <v>99999999</v>
      </c>
      <c r="CK20">
        <f t="shared" si="36"/>
        <v>99999999</v>
      </c>
      <c r="CL20">
        <f t="shared" si="37"/>
        <v>99999999</v>
      </c>
      <c r="CM20">
        <f t="shared" si="37"/>
        <v>99999999</v>
      </c>
      <c r="CN20">
        <f t="shared" si="37"/>
        <v>99999999</v>
      </c>
      <c r="CO20">
        <f t="shared" si="37"/>
        <v>99999999</v>
      </c>
      <c r="CP20">
        <f t="shared" si="37"/>
        <v>99999999</v>
      </c>
      <c r="CQ20">
        <f t="shared" si="37"/>
        <v>99999999</v>
      </c>
      <c r="CR20">
        <f t="shared" si="37"/>
        <v>99999999</v>
      </c>
      <c r="CS20">
        <f t="shared" si="37"/>
        <v>99999999</v>
      </c>
      <c r="CT20">
        <f t="shared" si="37"/>
        <v>99999999</v>
      </c>
      <c r="CU20">
        <f t="shared" si="37"/>
        <v>99999999</v>
      </c>
      <c r="CV20">
        <f t="shared" si="38"/>
        <v>99999999</v>
      </c>
      <c r="CW20">
        <f t="shared" si="38"/>
        <v>99999999</v>
      </c>
      <c r="CX20">
        <f t="shared" si="38"/>
        <v>99999999</v>
      </c>
      <c r="CY20">
        <f t="shared" si="38"/>
        <v>99999999</v>
      </c>
      <c r="CZ20">
        <f t="shared" si="38"/>
        <v>99999999</v>
      </c>
      <c r="DA20">
        <f t="shared" si="38"/>
        <v>99999999</v>
      </c>
      <c r="DB20">
        <f t="shared" si="38"/>
        <v>99999999</v>
      </c>
      <c r="DC20">
        <f t="shared" si="38"/>
        <v>99999999</v>
      </c>
      <c r="DD20">
        <f t="shared" si="38"/>
        <v>99999999</v>
      </c>
      <c r="DE20">
        <f t="shared" si="38"/>
        <v>99999999</v>
      </c>
      <c r="DF20">
        <f t="shared" si="39"/>
        <v>99999999</v>
      </c>
      <c r="DG20">
        <f t="shared" si="39"/>
        <v>99999999</v>
      </c>
      <c r="DH20">
        <f t="shared" si="39"/>
        <v>99999999</v>
      </c>
      <c r="DI20">
        <f t="shared" si="39"/>
        <v>99999999</v>
      </c>
      <c r="DJ20">
        <f t="shared" si="39"/>
        <v>99999999</v>
      </c>
      <c r="DK20">
        <f t="shared" si="39"/>
        <v>99999999</v>
      </c>
      <c r="DL20">
        <f t="shared" si="39"/>
        <v>99999999</v>
      </c>
      <c r="DM20">
        <f t="shared" si="39"/>
        <v>99999999</v>
      </c>
      <c r="DN20">
        <f t="shared" si="39"/>
        <v>99999999</v>
      </c>
      <c r="DO20">
        <f t="shared" si="39"/>
        <v>99999999</v>
      </c>
      <c r="DP20">
        <f t="shared" si="40"/>
        <v>99999999</v>
      </c>
      <c r="DQ20">
        <f t="shared" si="40"/>
        <v>99999999</v>
      </c>
      <c r="DR20">
        <f t="shared" si="40"/>
        <v>99999999</v>
      </c>
      <c r="DS20">
        <f t="shared" si="40"/>
        <v>99999999</v>
      </c>
      <c r="DT20">
        <f t="shared" si="40"/>
        <v>99999999</v>
      </c>
      <c r="DU20">
        <f t="shared" si="40"/>
        <v>99999999</v>
      </c>
      <c r="DV20">
        <f t="shared" si="40"/>
        <v>99999999</v>
      </c>
      <c r="DW20">
        <f t="shared" si="40"/>
        <v>99999999</v>
      </c>
      <c r="DX20">
        <f t="shared" si="40"/>
        <v>99999999</v>
      </c>
      <c r="DY20">
        <f t="shared" si="40"/>
        <v>99999999</v>
      </c>
      <c r="DZ20">
        <f t="shared" si="41"/>
        <v>99999999</v>
      </c>
      <c r="EA20">
        <f t="shared" si="41"/>
        <v>99999999</v>
      </c>
      <c r="EB20">
        <f t="shared" si="41"/>
        <v>99999999</v>
      </c>
      <c r="EC20">
        <f t="shared" si="41"/>
        <v>99999999</v>
      </c>
      <c r="ED20">
        <f t="shared" si="41"/>
        <v>99999999</v>
      </c>
      <c r="EE20">
        <f t="shared" si="41"/>
        <v>99999999</v>
      </c>
      <c r="EF20">
        <f t="shared" si="41"/>
        <v>99999999</v>
      </c>
      <c r="EG20">
        <f t="shared" si="41"/>
        <v>99999999</v>
      </c>
      <c r="EH20">
        <f t="shared" si="41"/>
        <v>99999999</v>
      </c>
      <c r="EI20">
        <f t="shared" si="41"/>
        <v>99999999</v>
      </c>
      <c r="EJ20">
        <f t="shared" si="42"/>
        <v>99999999</v>
      </c>
      <c r="EK20">
        <f t="shared" si="42"/>
        <v>99999999</v>
      </c>
      <c r="EL20">
        <f t="shared" si="42"/>
        <v>99999999</v>
      </c>
      <c r="EM20">
        <f t="shared" si="42"/>
        <v>99999999</v>
      </c>
      <c r="EN20">
        <f t="shared" si="42"/>
        <v>99999999</v>
      </c>
      <c r="EO20">
        <f t="shared" si="42"/>
        <v>99999999</v>
      </c>
      <c r="EP20">
        <f t="shared" si="42"/>
        <v>99999999</v>
      </c>
      <c r="EQ20">
        <f t="shared" si="42"/>
        <v>99999999</v>
      </c>
      <c r="ER20">
        <f t="shared" si="42"/>
        <v>99999999</v>
      </c>
      <c r="ES20">
        <f t="shared" si="42"/>
        <v>99999999</v>
      </c>
      <c r="ET20">
        <f t="shared" si="43"/>
        <v>99999999</v>
      </c>
      <c r="EU20">
        <f t="shared" si="43"/>
        <v>99999999</v>
      </c>
      <c r="EV20">
        <f t="shared" si="43"/>
        <v>99999999</v>
      </c>
      <c r="EW20">
        <f t="shared" si="43"/>
        <v>99999999</v>
      </c>
      <c r="EX20">
        <f t="shared" si="43"/>
        <v>99999999</v>
      </c>
      <c r="EY20">
        <f t="shared" si="43"/>
        <v>99999999</v>
      </c>
      <c r="EZ20">
        <f t="shared" si="43"/>
        <v>99999999</v>
      </c>
      <c r="FA20">
        <f t="shared" si="43"/>
        <v>99999999</v>
      </c>
      <c r="FB20">
        <f t="shared" si="43"/>
        <v>99999999</v>
      </c>
      <c r="FC20">
        <f t="shared" si="43"/>
        <v>99999999</v>
      </c>
      <c r="FD20">
        <f t="shared" si="44"/>
        <v>99999999</v>
      </c>
      <c r="FE20">
        <f t="shared" si="44"/>
        <v>99999999</v>
      </c>
      <c r="FF20">
        <f t="shared" si="44"/>
        <v>99999999</v>
      </c>
      <c r="FG20">
        <f t="shared" si="44"/>
        <v>99999999</v>
      </c>
      <c r="FH20">
        <f t="shared" si="44"/>
        <v>99999999</v>
      </c>
      <c r="FI20">
        <f t="shared" si="44"/>
        <v>99999999</v>
      </c>
      <c r="FJ20">
        <f t="shared" si="44"/>
        <v>99999999</v>
      </c>
      <c r="FK20">
        <f t="shared" si="44"/>
        <v>99999999</v>
      </c>
      <c r="FL20">
        <f t="shared" si="44"/>
        <v>99999999</v>
      </c>
      <c r="FM20">
        <f t="shared" si="44"/>
        <v>99999999</v>
      </c>
      <c r="FN20">
        <f t="shared" si="45"/>
        <v>99999999</v>
      </c>
      <c r="FO20">
        <f t="shared" si="45"/>
        <v>99999999</v>
      </c>
      <c r="FP20">
        <f t="shared" si="45"/>
        <v>99999999</v>
      </c>
      <c r="FQ20">
        <f t="shared" si="45"/>
        <v>99999999</v>
      </c>
      <c r="FR20">
        <f t="shared" si="45"/>
        <v>99999999</v>
      </c>
      <c r="FS20">
        <f t="shared" si="45"/>
        <v>99999999</v>
      </c>
      <c r="FT20">
        <f t="shared" si="45"/>
        <v>99999999</v>
      </c>
      <c r="FU20">
        <f t="shared" si="45"/>
        <v>99999999</v>
      </c>
      <c r="FV20">
        <f t="shared" si="45"/>
        <v>99999999</v>
      </c>
      <c r="FW20">
        <f t="shared" si="45"/>
        <v>99999999</v>
      </c>
      <c r="FX20">
        <f t="shared" si="46"/>
        <v>99999999</v>
      </c>
      <c r="FY20">
        <f t="shared" si="46"/>
        <v>99999999</v>
      </c>
      <c r="FZ20">
        <f t="shared" si="46"/>
        <v>99999999</v>
      </c>
      <c r="GA20">
        <f t="shared" si="46"/>
        <v>99999999</v>
      </c>
      <c r="GB20">
        <f t="shared" si="46"/>
        <v>99999999</v>
      </c>
      <c r="GC20">
        <f t="shared" si="46"/>
        <v>99999999</v>
      </c>
      <c r="GD20">
        <f t="shared" si="46"/>
        <v>99999999</v>
      </c>
      <c r="GE20">
        <f t="shared" si="46"/>
        <v>99999999</v>
      </c>
      <c r="GF20">
        <f t="shared" si="46"/>
        <v>99999999</v>
      </c>
      <c r="GG20">
        <f t="shared" si="46"/>
        <v>99999999</v>
      </c>
      <c r="GH20">
        <f t="shared" si="47"/>
        <v>99999999</v>
      </c>
      <c r="GI20">
        <f t="shared" si="47"/>
        <v>99999999</v>
      </c>
      <c r="GJ20">
        <f t="shared" si="47"/>
        <v>99999999</v>
      </c>
      <c r="GK20">
        <f t="shared" si="47"/>
        <v>99999999</v>
      </c>
      <c r="GL20">
        <f t="shared" si="47"/>
        <v>99999999</v>
      </c>
      <c r="GM20">
        <f t="shared" si="47"/>
        <v>99999999</v>
      </c>
      <c r="GN20">
        <f t="shared" si="47"/>
        <v>99999999</v>
      </c>
      <c r="GO20">
        <f t="shared" si="47"/>
        <v>99999999</v>
      </c>
      <c r="GP20">
        <f t="shared" si="47"/>
        <v>99999999</v>
      </c>
      <c r="GQ20">
        <f t="shared" si="47"/>
        <v>99999999</v>
      </c>
      <c r="GR20">
        <f t="shared" si="48"/>
        <v>99999999</v>
      </c>
      <c r="GS20">
        <f t="shared" si="48"/>
        <v>99999999</v>
      </c>
      <c r="GT20">
        <f t="shared" si="48"/>
        <v>99999999</v>
      </c>
      <c r="GU20">
        <f t="shared" si="48"/>
        <v>99999999</v>
      </c>
      <c r="GV20">
        <f t="shared" si="48"/>
        <v>99999999</v>
      </c>
      <c r="GW20">
        <f t="shared" si="48"/>
        <v>99999999</v>
      </c>
      <c r="GX20">
        <f t="shared" si="48"/>
        <v>99999999</v>
      </c>
      <c r="GY20">
        <f t="shared" si="48"/>
        <v>99999999</v>
      </c>
      <c r="GZ20">
        <f t="shared" si="48"/>
        <v>99999999</v>
      </c>
      <c r="HA20">
        <f t="shared" si="48"/>
        <v>99999999</v>
      </c>
      <c r="HB20">
        <f t="shared" si="49"/>
        <v>99999999</v>
      </c>
      <c r="HC20">
        <f t="shared" si="49"/>
        <v>99999999</v>
      </c>
      <c r="HD20">
        <f t="shared" si="49"/>
        <v>99999999</v>
      </c>
      <c r="HE20">
        <f t="shared" si="49"/>
        <v>99999999</v>
      </c>
      <c r="HF20">
        <f t="shared" si="49"/>
        <v>99999999</v>
      </c>
      <c r="HG20">
        <f t="shared" si="49"/>
        <v>99999999</v>
      </c>
      <c r="HH20">
        <f t="shared" si="49"/>
        <v>99999999</v>
      </c>
      <c r="HI20">
        <f t="shared" si="49"/>
        <v>99999999</v>
      </c>
      <c r="HJ20">
        <f t="shared" si="49"/>
        <v>99999999</v>
      </c>
      <c r="HK20">
        <f t="shared" si="49"/>
        <v>99999999</v>
      </c>
      <c r="HL20">
        <f t="shared" si="50"/>
        <v>99999999</v>
      </c>
      <c r="HM20">
        <f t="shared" si="50"/>
        <v>99999999</v>
      </c>
      <c r="HN20">
        <f t="shared" si="50"/>
        <v>99999999</v>
      </c>
      <c r="HO20">
        <f t="shared" si="50"/>
        <v>99999999</v>
      </c>
      <c r="HP20">
        <f t="shared" si="50"/>
        <v>99999999</v>
      </c>
      <c r="HQ20">
        <f t="shared" si="50"/>
        <v>99999999</v>
      </c>
      <c r="HR20">
        <f t="shared" si="50"/>
        <v>99999999</v>
      </c>
      <c r="HS20">
        <f t="shared" si="50"/>
        <v>99999999</v>
      </c>
      <c r="HT20">
        <f t="shared" si="50"/>
        <v>99999999</v>
      </c>
      <c r="HU20">
        <f t="shared" si="50"/>
        <v>99999999</v>
      </c>
      <c r="HV20">
        <f t="shared" si="51"/>
        <v>99999999</v>
      </c>
      <c r="HW20">
        <f t="shared" si="51"/>
        <v>99999999</v>
      </c>
      <c r="HX20">
        <f t="shared" si="51"/>
        <v>99999999</v>
      </c>
      <c r="HY20">
        <f t="shared" si="51"/>
        <v>99999999</v>
      </c>
      <c r="HZ20">
        <f t="shared" si="51"/>
        <v>99999999</v>
      </c>
      <c r="IA20">
        <f t="shared" si="51"/>
        <v>99999999</v>
      </c>
      <c r="IB20">
        <f t="shared" si="51"/>
        <v>99999999</v>
      </c>
      <c r="IC20">
        <f t="shared" si="51"/>
        <v>99999999</v>
      </c>
      <c r="ID20">
        <f t="shared" si="51"/>
        <v>99999999</v>
      </c>
      <c r="IE20">
        <f t="shared" si="51"/>
        <v>99999999</v>
      </c>
      <c r="IF20">
        <f t="shared" si="52"/>
        <v>99999999</v>
      </c>
      <c r="IG20">
        <f t="shared" si="52"/>
        <v>99999999</v>
      </c>
      <c r="IH20">
        <f t="shared" si="52"/>
        <v>99999999</v>
      </c>
      <c r="II20">
        <f t="shared" si="52"/>
        <v>99999999</v>
      </c>
      <c r="IJ20">
        <f t="shared" si="52"/>
        <v>99999999</v>
      </c>
      <c r="IK20">
        <f t="shared" si="52"/>
        <v>99999999</v>
      </c>
      <c r="IL20">
        <f t="shared" si="52"/>
        <v>99999999</v>
      </c>
      <c r="IM20">
        <f t="shared" si="52"/>
        <v>99999999</v>
      </c>
      <c r="IN20">
        <f t="shared" si="52"/>
        <v>99999999</v>
      </c>
      <c r="IO20">
        <f t="shared" si="52"/>
        <v>99999999</v>
      </c>
      <c r="IP20">
        <f t="shared" si="53"/>
        <v>99999999</v>
      </c>
      <c r="IQ20">
        <f t="shared" si="53"/>
        <v>99999999</v>
      </c>
      <c r="IR20">
        <f t="shared" si="53"/>
        <v>99999999</v>
      </c>
      <c r="IS20">
        <f t="shared" si="53"/>
        <v>99999999</v>
      </c>
      <c r="IT20">
        <f t="shared" si="53"/>
        <v>99999999</v>
      </c>
      <c r="IU20">
        <f t="shared" si="53"/>
        <v>99999999</v>
      </c>
      <c r="IV20">
        <f t="shared" si="53"/>
        <v>99999999</v>
      </c>
      <c r="IW20">
        <f t="shared" si="53"/>
        <v>99999999</v>
      </c>
      <c r="IX20">
        <f t="shared" si="53"/>
        <v>99999999</v>
      </c>
      <c r="IY20">
        <f t="shared" si="53"/>
        <v>99999999</v>
      </c>
    </row>
    <row r="21" spans="1:259" x14ac:dyDescent="0.3">
      <c r="A21">
        <f>CAMBIOS!A21</f>
        <v>50</v>
      </c>
      <c r="B21">
        <f>IF(D21=1,CAMBIOS!P21*Valor_1+CAMBIOS!Q21*Valor_2+CAMBIOS!R21*Valor_3,IF(CAMBIOS!P21=1,Valor_1,Valor_2))</f>
        <v>3</v>
      </c>
      <c r="C21">
        <f>IF(D21=1,0,IF(CAMBIOS!R21=1,Valor_3,Valor_2))</f>
        <v>7</v>
      </c>
      <c r="D21">
        <f>CAMBIOS!P21+CAMBIOS!Q21+CAMBIOS!R21</f>
        <v>2</v>
      </c>
      <c r="E21">
        <f t="shared" si="0"/>
        <v>9986</v>
      </c>
      <c r="F21">
        <f t="shared" si="1"/>
        <v>12</v>
      </c>
      <c r="G21">
        <f t="shared" si="2"/>
        <v>2</v>
      </c>
      <c r="H21">
        <f t="shared" si="3"/>
        <v>0</v>
      </c>
      <c r="J21">
        <f t="shared" si="29"/>
        <v>509993</v>
      </c>
      <c r="K21">
        <f t="shared" si="29"/>
        <v>209992</v>
      </c>
      <c r="L21">
        <f t="shared" si="29"/>
        <v>609992</v>
      </c>
      <c r="M21">
        <f t="shared" si="29"/>
        <v>309991</v>
      </c>
      <c r="N21">
        <f t="shared" si="29"/>
        <v>9990</v>
      </c>
      <c r="O21">
        <f t="shared" si="29"/>
        <v>409990</v>
      </c>
      <c r="P21">
        <f t="shared" si="29"/>
        <v>109989</v>
      </c>
      <c r="Q21">
        <f t="shared" si="29"/>
        <v>509989</v>
      </c>
      <c r="R21">
        <f t="shared" si="29"/>
        <v>209988</v>
      </c>
      <c r="S21">
        <f t="shared" si="29"/>
        <v>609988</v>
      </c>
      <c r="T21">
        <f t="shared" si="30"/>
        <v>309987</v>
      </c>
      <c r="U21">
        <f t="shared" si="30"/>
        <v>9986</v>
      </c>
      <c r="V21">
        <f t="shared" si="30"/>
        <v>409986</v>
      </c>
      <c r="W21">
        <f t="shared" si="30"/>
        <v>109985</v>
      </c>
      <c r="X21">
        <f t="shared" si="30"/>
        <v>99999999</v>
      </c>
      <c r="Y21">
        <f t="shared" si="30"/>
        <v>99999999</v>
      </c>
      <c r="Z21">
        <f t="shared" si="30"/>
        <v>99999999</v>
      </c>
      <c r="AA21">
        <f t="shared" si="30"/>
        <v>99999999</v>
      </c>
      <c r="AB21">
        <f t="shared" si="30"/>
        <v>99999999</v>
      </c>
      <c r="AC21">
        <f t="shared" si="30"/>
        <v>99999999</v>
      </c>
      <c r="AD21">
        <f t="shared" si="31"/>
        <v>99999999</v>
      </c>
      <c r="AE21">
        <f t="shared" si="31"/>
        <v>99999999</v>
      </c>
      <c r="AF21">
        <f t="shared" si="31"/>
        <v>99999999</v>
      </c>
      <c r="AG21">
        <f t="shared" si="31"/>
        <v>99999999</v>
      </c>
      <c r="AH21">
        <f t="shared" si="31"/>
        <v>99999999</v>
      </c>
      <c r="AI21">
        <f t="shared" si="31"/>
        <v>99999999</v>
      </c>
      <c r="AJ21">
        <f t="shared" si="31"/>
        <v>99999999</v>
      </c>
      <c r="AK21">
        <f t="shared" si="31"/>
        <v>99999999</v>
      </c>
      <c r="AL21">
        <f t="shared" si="31"/>
        <v>99999999</v>
      </c>
      <c r="AM21">
        <f t="shared" si="31"/>
        <v>99999999</v>
      </c>
      <c r="AN21">
        <f t="shared" si="32"/>
        <v>99999999</v>
      </c>
      <c r="AO21">
        <f t="shared" si="32"/>
        <v>99999999</v>
      </c>
      <c r="AP21">
        <f t="shared" si="32"/>
        <v>99999999</v>
      </c>
      <c r="AQ21">
        <f t="shared" si="32"/>
        <v>99999999</v>
      </c>
      <c r="AR21">
        <f t="shared" si="32"/>
        <v>99999999</v>
      </c>
      <c r="AS21">
        <f t="shared" si="32"/>
        <v>99999999</v>
      </c>
      <c r="AT21">
        <f t="shared" si="32"/>
        <v>99999999</v>
      </c>
      <c r="AU21">
        <f t="shared" si="32"/>
        <v>99999999</v>
      </c>
      <c r="AV21">
        <f t="shared" si="32"/>
        <v>99999999</v>
      </c>
      <c r="AW21">
        <f t="shared" si="32"/>
        <v>99999999</v>
      </c>
      <c r="AX21">
        <f t="shared" si="33"/>
        <v>99999999</v>
      </c>
      <c r="AY21">
        <f t="shared" si="33"/>
        <v>99999999</v>
      </c>
      <c r="AZ21">
        <f t="shared" si="33"/>
        <v>99999999</v>
      </c>
      <c r="BA21">
        <f t="shared" si="33"/>
        <v>99999999</v>
      </c>
      <c r="BB21">
        <f t="shared" si="33"/>
        <v>99999999</v>
      </c>
      <c r="BC21">
        <f t="shared" si="33"/>
        <v>99999999</v>
      </c>
      <c r="BD21">
        <f t="shared" si="33"/>
        <v>99999999</v>
      </c>
      <c r="BE21">
        <f t="shared" si="33"/>
        <v>99999999</v>
      </c>
      <c r="BF21">
        <f t="shared" si="33"/>
        <v>99999999</v>
      </c>
      <c r="BG21">
        <f t="shared" si="33"/>
        <v>99999999</v>
      </c>
      <c r="BH21">
        <f t="shared" si="34"/>
        <v>99999999</v>
      </c>
      <c r="BI21">
        <f t="shared" si="34"/>
        <v>99999999</v>
      </c>
      <c r="BJ21">
        <f t="shared" si="34"/>
        <v>99999999</v>
      </c>
      <c r="BK21">
        <f t="shared" si="34"/>
        <v>99999999</v>
      </c>
      <c r="BL21">
        <f t="shared" si="34"/>
        <v>99999999</v>
      </c>
      <c r="BM21">
        <f t="shared" si="34"/>
        <v>99999999</v>
      </c>
      <c r="BN21">
        <f t="shared" si="34"/>
        <v>99999999</v>
      </c>
      <c r="BO21">
        <f t="shared" si="34"/>
        <v>99999999</v>
      </c>
      <c r="BP21">
        <f t="shared" si="34"/>
        <v>99999999</v>
      </c>
      <c r="BQ21">
        <f t="shared" si="34"/>
        <v>99999999</v>
      </c>
      <c r="BR21">
        <f t="shared" si="35"/>
        <v>99999999</v>
      </c>
      <c r="BS21">
        <f t="shared" si="35"/>
        <v>99999999</v>
      </c>
      <c r="BT21">
        <f t="shared" si="35"/>
        <v>99999999</v>
      </c>
      <c r="BU21">
        <f t="shared" si="35"/>
        <v>99999999</v>
      </c>
      <c r="BV21">
        <f t="shared" si="35"/>
        <v>99999999</v>
      </c>
      <c r="BW21">
        <f t="shared" si="35"/>
        <v>99999999</v>
      </c>
      <c r="BX21">
        <f t="shared" si="35"/>
        <v>99999999</v>
      </c>
      <c r="BY21">
        <f t="shared" si="35"/>
        <v>99999999</v>
      </c>
      <c r="BZ21">
        <f t="shared" si="35"/>
        <v>99999999</v>
      </c>
      <c r="CA21">
        <f t="shared" si="35"/>
        <v>99999999</v>
      </c>
      <c r="CB21">
        <f t="shared" si="36"/>
        <v>99999999</v>
      </c>
      <c r="CC21">
        <f t="shared" si="36"/>
        <v>99999999</v>
      </c>
      <c r="CD21">
        <f t="shared" si="36"/>
        <v>99999999</v>
      </c>
      <c r="CE21">
        <f t="shared" si="36"/>
        <v>99999999</v>
      </c>
      <c r="CF21">
        <f t="shared" si="36"/>
        <v>99999999</v>
      </c>
      <c r="CG21">
        <f t="shared" si="36"/>
        <v>99999999</v>
      </c>
      <c r="CH21">
        <f t="shared" si="36"/>
        <v>99999999</v>
      </c>
      <c r="CI21">
        <f t="shared" si="36"/>
        <v>99999999</v>
      </c>
      <c r="CJ21">
        <f t="shared" si="36"/>
        <v>99999999</v>
      </c>
      <c r="CK21">
        <f t="shared" si="36"/>
        <v>99999999</v>
      </c>
      <c r="CL21">
        <f t="shared" si="37"/>
        <v>99999999</v>
      </c>
      <c r="CM21">
        <f t="shared" si="37"/>
        <v>99999999</v>
      </c>
      <c r="CN21">
        <f t="shared" si="37"/>
        <v>99999999</v>
      </c>
      <c r="CO21">
        <f t="shared" si="37"/>
        <v>99999999</v>
      </c>
      <c r="CP21">
        <f t="shared" si="37"/>
        <v>99999999</v>
      </c>
      <c r="CQ21">
        <f t="shared" si="37"/>
        <v>99999999</v>
      </c>
      <c r="CR21">
        <f t="shared" si="37"/>
        <v>99999999</v>
      </c>
      <c r="CS21">
        <f t="shared" si="37"/>
        <v>99999999</v>
      </c>
      <c r="CT21">
        <f t="shared" si="37"/>
        <v>99999999</v>
      </c>
      <c r="CU21">
        <f t="shared" si="37"/>
        <v>99999999</v>
      </c>
      <c r="CV21">
        <f t="shared" si="38"/>
        <v>99999999</v>
      </c>
      <c r="CW21">
        <f t="shared" si="38"/>
        <v>99999999</v>
      </c>
      <c r="CX21">
        <f t="shared" si="38"/>
        <v>99999999</v>
      </c>
      <c r="CY21">
        <f t="shared" si="38"/>
        <v>99999999</v>
      </c>
      <c r="CZ21">
        <f t="shared" si="38"/>
        <v>99999999</v>
      </c>
      <c r="DA21">
        <f t="shared" si="38"/>
        <v>99999999</v>
      </c>
      <c r="DB21">
        <f t="shared" si="38"/>
        <v>99999999</v>
      </c>
      <c r="DC21">
        <f t="shared" si="38"/>
        <v>99999999</v>
      </c>
      <c r="DD21">
        <f t="shared" si="38"/>
        <v>99999999</v>
      </c>
      <c r="DE21">
        <f t="shared" si="38"/>
        <v>99999999</v>
      </c>
      <c r="DF21">
        <f t="shared" si="39"/>
        <v>99999999</v>
      </c>
      <c r="DG21">
        <f t="shared" si="39"/>
        <v>99999999</v>
      </c>
      <c r="DH21">
        <f t="shared" si="39"/>
        <v>99999999</v>
      </c>
      <c r="DI21">
        <f t="shared" si="39"/>
        <v>99999999</v>
      </c>
      <c r="DJ21">
        <f t="shared" si="39"/>
        <v>99999999</v>
      </c>
      <c r="DK21">
        <f t="shared" si="39"/>
        <v>99999999</v>
      </c>
      <c r="DL21">
        <f t="shared" si="39"/>
        <v>99999999</v>
      </c>
      <c r="DM21">
        <f t="shared" si="39"/>
        <v>99999999</v>
      </c>
      <c r="DN21">
        <f t="shared" si="39"/>
        <v>99999999</v>
      </c>
      <c r="DO21">
        <f t="shared" si="39"/>
        <v>99999999</v>
      </c>
      <c r="DP21">
        <f t="shared" si="40"/>
        <v>99999999</v>
      </c>
      <c r="DQ21">
        <f t="shared" si="40"/>
        <v>99999999</v>
      </c>
      <c r="DR21">
        <f t="shared" si="40"/>
        <v>99999999</v>
      </c>
      <c r="DS21">
        <f t="shared" si="40"/>
        <v>99999999</v>
      </c>
      <c r="DT21">
        <f t="shared" si="40"/>
        <v>99999999</v>
      </c>
      <c r="DU21">
        <f t="shared" si="40"/>
        <v>99999999</v>
      </c>
      <c r="DV21">
        <f t="shared" si="40"/>
        <v>99999999</v>
      </c>
      <c r="DW21">
        <f t="shared" si="40"/>
        <v>99999999</v>
      </c>
      <c r="DX21">
        <f t="shared" si="40"/>
        <v>99999999</v>
      </c>
      <c r="DY21">
        <f t="shared" si="40"/>
        <v>99999999</v>
      </c>
      <c r="DZ21">
        <f t="shared" si="41"/>
        <v>99999999</v>
      </c>
      <c r="EA21">
        <f t="shared" si="41"/>
        <v>99999999</v>
      </c>
      <c r="EB21">
        <f t="shared" si="41"/>
        <v>99999999</v>
      </c>
      <c r="EC21">
        <f t="shared" si="41"/>
        <v>99999999</v>
      </c>
      <c r="ED21">
        <f t="shared" si="41"/>
        <v>99999999</v>
      </c>
      <c r="EE21">
        <f t="shared" si="41"/>
        <v>99999999</v>
      </c>
      <c r="EF21">
        <f t="shared" si="41"/>
        <v>99999999</v>
      </c>
      <c r="EG21">
        <f t="shared" si="41"/>
        <v>99999999</v>
      </c>
      <c r="EH21">
        <f t="shared" si="41"/>
        <v>99999999</v>
      </c>
      <c r="EI21">
        <f t="shared" si="41"/>
        <v>99999999</v>
      </c>
      <c r="EJ21">
        <f t="shared" si="42"/>
        <v>99999999</v>
      </c>
      <c r="EK21">
        <f t="shared" si="42"/>
        <v>99999999</v>
      </c>
      <c r="EL21">
        <f t="shared" si="42"/>
        <v>99999999</v>
      </c>
      <c r="EM21">
        <f t="shared" si="42"/>
        <v>99999999</v>
      </c>
      <c r="EN21">
        <f t="shared" si="42"/>
        <v>99999999</v>
      </c>
      <c r="EO21">
        <f t="shared" si="42"/>
        <v>99999999</v>
      </c>
      <c r="EP21">
        <f t="shared" si="42"/>
        <v>99999999</v>
      </c>
      <c r="EQ21">
        <f t="shared" si="42"/>
        <v>99999999</v>
      </c>
      <c r="ER21">
        <f t="shared" si="42"/>
        <v>99999999</v>
      </c>
      <c r="ES21">
        <f t="shared" si="42"/>
        <v>99999999</v>
      </c>
      <c r="ET21">
        <f t="shared" si="43"/>
        <v>99999999</v>
      </c>
      <c r="EU21">
        <f t="shared" si="43"/>
        <v>99999999</v>
      </c>
      <c r="EV21">
        <f t="shared" si="43"/>
        <v>99999999</v>
      </c>
      <c r="EW21">
        <f t="shared" si="43"/>
        <v>99999999</v>
      </c>
      <c r="EX21">
        <f t="shared" si="43"/>
        <v>99999999</v>
      </c>
      <c r="EY21">
        <f t="shared" si="43"/>
        <v>99999999</v>
      </c>
      <c r="EZ21">
        <f t="shared" si="43"/>
        <v>99999999</v>
      </c>
      <c r="FA21">
        <f t="shared" si="43"/>
        <v>99999999</v>
      </c>
      <c r="FB21">
        <f t="shared" si="43"/>
        <v>99999999</v>
      </c>
      <c r="FC21">
        <f t="shared" si="43"/>
        <v>99999999</v>
      </c>
      <c r="FD21">
        <f t="shared" si="44"/>
        <v>99999999</v>
      </c>
      <c r="FE21">
        <f t="shared" si="44"/>
        <v>99999999</v>
      </c>
      <c r="FF21">
        <f t="shared" si="44"/>
        <v>99999999</v>
      </c>
      <c r="FG21">
        <f t="shared" si="44"/>
        <v>99999999</v>
      </c>
      <c r="FH21">
        <f t="shared" si="44"/>
        <v>99999999</v>
      </c>
      <c r="FI21">
        <f t="shared" si="44"/>
        <v>99999999</v>
      </c>
      <c r="FJ21">
        <f t="shared" si="44"/>
        <v>99999999</v>
      </c>
      <c r="FK21">
        <f t="shared" si="44"/>
        <v>99999999</v>
      </c>
      <c r="FL21">
        <f t="shared" si="44"/>
        <v>99999999</v>
      </c>
      <c r="FM21">
        <f t="shared" si="44"/>
        <v>99999999</v>
      </c>
      <c r="FN21">
        <f t="shared" si="45"/>
        <v>99999999</v>
      </c>
      <c r="FO21">
        <f t="shared" si="45"/>
        <v>99999999</v>
      </c>
      <c r="FP21">
        <f t="shared" si="45"/>
        <v>99999999</v>
      </c>
      <c r="FQ21">
        <f t="shared" si="45"/>
        <v>99999999</v>
      </c>
      <c r="FR21">
        <f t="shared" si="45"/>
        <v>99999999</v>
      </c>
      <c r="FS21">
        <f t="shared" si="45"/>
        <v>99999999</v>
      </c>
      <c r="FT21">
        <f t="shared" si="45"/>
        <v>99999999</v>
      </c>
      <c r="FU21">
        <f t="shared" si="45"/>
        <v>99999999</v>
      </c>
      <c r="FV21">
        <f t="shared" si="45"/>
        <v>99999999</v>
      </c>
      <c r="FW21">
        <f t="shared" si="45"/>
        <v>99999999</v>
      </c>
      <c r="FX21">
        <f t="shared" si="46"/>
        <v>99999999</v>
      </c>
      <c r="FY21">
        <f t="shared" si="46"/>
        <v>99999999</v>
      </c>
      <c r="FZ21">
        <f t="shared" si="46"/>
        <v>99999999</v>
      </c>
      <c r="GA21">
        <f t="shared" si="46"/>
        <v>99999999</v>
      </c>
      <c r="GB21">
        <f t="shared" si="46"/>
        <v>99999999</v>
      </c>
      <c r="GC21">
        <f t="shared" si="46"/>
        <v>99999999</v>
      </c>
      <c r="GD21">
        <f t="shared" si="46"/>
        <v>99999999</v>
      </c>
      <c r="GE21">
        <f t="shared" si="46"/>
        <v>99999999</v>
      </c>
      <c r="GF21">
        <f t="shared" si="46"/>
        <v>99999999</v>
      </c>
      <c r="GG21">
        <f t="shared" si="46"/>
        <v>99999999</v>
      </c>
      <c r="GH21">
        <f t="shared" si="47"/>
        <v>99999999</v>
      </c>
      <c r="GI21">
        <f t="shared" si="47"/>
        <v>99999999</v>
      </c>
      <c r="GJ21">
        <f t="shared" si="47"/>
        <v>99999999</v>
      </c>
      <c r="GK21">
        <f t="shared" si="47"/>
        <v>99999999</v>
      </c>
      <c r="GL21">
        <f t="shared" si="47"/>
        <v>99999999</v>
      </c>
      <c r="GM21">
        <f t="shared" si="47"/>
        <v>99999999</v>
      </c>
      <c r="GN21">
        <f t="shared" si="47"/>
        <v>99999999</v>
      </c>
      <c r="GO21">
        <f t="shared" si="47"/>
        <v>99999999</v>
      </c>
      <c r="GP21">
        <f t="shared" si="47"/>
        <v>99999999</v>
      </c>
      <c r="GQ21">
        <f t="shared" si="47"/>
        <v>99999999</v>
      </c>
      <c r="GR21">
        <f t="shared" si="48"/>
        <v>99999999</v>
      </c>
      <c r="GS21">
        <f t="shared" si="48"/>
        <v>99999999</v>
      </c>
      <c r="GT21">
        <f t="shared" si="48"/>
        <v>99999999</v>
      </c>
      <c r="GU21">
        <f t="shared" si="48"/>
        <v>99999999</v>
      </c>
      <c r="GV21">
        <f t="shared" si="48"/>
        <v>99999999</v>
      </c>
      <c r="GW21">
        <f t="shared" si="48"/>
        <v>99999999</v>
      </c>
      <c r="GX21">
        <f t="shared" si="48"/>
        <v>99999999</v>
      </c>
      <c r="GY21">
        <f t="shared" si="48"/>
        <v>99999999</v>
      </c>
      <c r="GZ21">
        <f t="shared" si="48"/>
        <v>99999999</v>
      </c>
      <c r="HA21">
        <f t="shared" si="48"/>
        <v>99999999</v>
      </c>
      <c r="HB21">
        <f t="shared" si="49"/>
        <v>99999999</v>
      </c>
      <c r="HC21">
        <f t="shared" si="49"/>
        <v>99999999</v>
      </c>
      <c r="HD21">
        <f t="shared" si="49"/>
        <v>99999999</v>
      </c>
      <c r="HE21">
        <f t="shared" si="49"/>
        <v>99999999</v>
      </c>
      <c r="HF21">
        <f t="shared" si="49"/>
        <v>99999999</v>
      </c>
      <c r="HG21">
        <f t="shared" si="49"/>
        <v>99999999</v>
      </c>
      <c r="HH21">
        <f t="shared" si="49"/>
        <v>99999999</v>
      </c>
      <c r="HI21">
        <f t="shared" si="49"/>
        <v>99999999</v>
      </c>
      <c r="HJ21">
        <f t="shared" si="49"/>
        <v>99999999</v>
      </c>
      <c r="HK21">
        <f t="shared" si="49"/>
        <v>99999999</v>
      </c>
      <c r="HL21">
        <f t="shared" si="50"/>
        <v>99999999</v>
      </c>
      <c r="HM21">
        <f t="shared" si="50"/>
        <v>99999999</v>
      </c>
      <c r="HN21">
        <f t="shared" si="50"/>
        <v>99999999</v>
      </c>
      <c r="HO21">
        <f t="shared" si="50"/>
        <v>99999999</v>
      </c>
      <c r="HP21">
        <f t="shared" si="50"/>
        <v>99999999</v>
      </c>
      <c r="HQ21">
        <f t="shared" si="50"/>
        <v>99999999</v>
      </c>
      <c r="HR21">
        <f t="shared" si="50"/>
        <v>99999999</v>
      </c>
      <c r="HS21">
        <f t="shared" si="50"/>
        <v>99999999</v>
      </c>
      <c r="HT21">
        <f t="shared" si="50"/>
        <v>99999999</v>
      </c>
      <c r="HU21">
        <f t="shared" si="50"/>
        <v>99999999</v>
      </c>
      <c r="HV21">
        <f t="shared" si="51"/>
        <v>99999999</v>
      </c>
      <c r="HW21">
        <f t="shared" si="51"/>
        <v>99999999</v>
      </c>
      <c r="HX21">
        <f t="shared" si="51"/>
        <v>99999999</v>
      </c>
      <c r="HY21">
        <f t="shared" si="51"/>
        <v>99999999</v>
      </c>
      <c r="HZ21">
        <f t="shared" si="51"/>
        <v>99999999</v>
      </c>
      <c r="IA21">
        <f t="shared" si="51"/>
        <v>99999999</v>
      </c>
      <c r="IB21">
        <f t="shared" si="51"/>
        <v>99999999</v>
      </c>
      <c r="IC21">
        <f t="shared" si="51"/>
        <v>99999999</v>
      </c>
      <c r="ID21">
        <f t="shared" si="51"/>
        <v>99999999</v>
      </c>
      <c r="IE21">
        <f t="shared" si="51"/>
        <v>99999999</v>
      </c>
      <c r="IF21">
        <f t="shared" si="52"/>
        <v>99999999</v>
      </c>
      <c r="IG21">
        <f t="shared" si="52"/>
        <v>99999999</v>
      </c>
      <c r="IH21">
        <f t="shared" si="52"/>
        <v>99999999</v>
      </c>
      <c r="II21">
        <f t="shared" si="52"/>
        <v>99999999</v>
      </c>
      <c r="IJ21">
        <f t="shared" si="52"/>
        <v>99999999</v>
      </c>
      <c r="IK21">
        <f t="shared" si="52"/>
        <v>99999999</v>
      </c>
      <c r="IL21">
        <f t="shared" si="52"/>
        <v>99999999</v>
      </c>
      <c r="IM21">
        <f t="shared" si="52"/>
        <v>99999999</v>
      </c>
      <c r="IN21">
        <f t="shared" si="52"/>
        <v>99999999</v>
      </c>
      <c r="IO21">
        <f t="shared" si="52"/>
        <v>99999999</v>
      </c>
      <c r="IP21">
        <f t="shared" si="53"/>
        <v>99999999</v>
      </c>
      <c r="IQ21">
        <f t="shared" si="53"/>
        <v>99999999</v>
      </c>
      <c r="IR21">
        <f t="shared" si="53"/>
        <v>99999999</v>
      </c>
      <c r="IS21">
        <f t="shared" si="53"/>
        <v>99999999</v>
      </c>
      <c r="IT21">
        <f t="shared" si="53"/>
        <v>99999999</v>
      </c>
      <c r="IU21">
        <f t="shared" si="53"/>
        <v>99999999</v>
      </c>
      <c r="IV21">
        <f t="shared" si="53"/>
        <v>99999999</v>
      </c>
      <c r="IW21">
        <f t="shared" si="53"/>
        <v>99999999</v>
      </c>
      <c r="IX21">
        <f t="shared" si="53"/>
        <v>99999999</v>
      </c>
      <c r="IY21">
        <f t="shared" si="53"/>
        <v>99999999</v>
      </c>
    </row>
    <row r="22" spans="1:259" x14ac:dyDescent="0.3">
      <c r="A22">
        <f>CAMBIOS!A22</f>
        <v>50</v>
      </c>
      <c r="B22">
        <f>IF(D22=1,CAMBIOS!P22*Valor_1+CAMBIOS!Q22*Valor_2+CAMBIOS!R22*Valor_3,IF(CAMBIOS!P22=1,Valor_1,Valor_2))</f>
        <v>5</v>
      </c>
      <c r="C22">
        <f>IF(D22=1,0,IF(CAMBIOS!R22=1,Valor_3,Valor_2))</f>
        <v>7</v>
      </c>
      <c r="D22">
        <f>CAMBIOS!P22+CAMBIOS!Q22+CAMBIOS!R22</f>
        <v>2</v>
      </c>
      <c r="E22">
        <f t="shared" si="0"/>
        <v>9992</v>
      </c>
      <c r="F22">
        <f t="shared" si="1"/>
        <v>3</v>
      </c>
      <c r="G22">
        <f t="shared" si="2"/>
        <v>5</v>
      </c>
      <c r="H22">
        <f t="shared" si="3"/>
        <v>0</v>
      </c>
      <c r="J22">
        <f t="shared" si="29"/>
        <v>309993</v>
      </c>
      <c r="K22">
        <f t="shared" si="29"/>
        <v>509993</v>
      </c>
      <c r="L22">
        <f t="shared" si="29"/>
        <v>9992</v>
      </c>
      <c r="M22">
        <f t="shared" si="29"/>
        <v>209992</v>
      </c>
      <c r="N22">
        <f t="shared" si="29"/>
        <v>409992</v>
      </c>
      <c r="O22">
        <f t="shared" si="29"/>
        <v>609992</v>
      </c>
      <c r="P22">
        <f t="shared" si="29"/>
        <v>109991</v>
      </c>
      <c r="Q22">
        <f t="shared" si="29"/>
        <v>309991</v>
      </c>
      <c r="R22">
        <f t="shared" si="29"/>
        <v>99999999</v>
      </c>
      <c r="S22">
        <f t="shared" si="29"/>
        <v>99999999</v>
      </c>
      <c r="T22">
        <f t="shared" si="30"/>
        <v>99999999</v>
      </c>
      <c r="U22">
        <f t="shared" si="30"/>
        <v>99999999</v>
      </c>
      <c r="V22">
        <f t="shared" si="30"/>
        <v>99999999</v>
      </c>
      <c r="W22">
        <f t="shared" si="30"/>
        <v>99999999</v>
      </c>
      <c r="X22">
        <f t="shared" si="30"/>
        <v>99999999</v>
      </c>
      <c r="Y22">
        <f t="shared" si="30"/>
        <v>99999999</v>
      </c>
      <c r="Z22">
        <f t="shared" si="30"/>
        <v>99999999</v>
      </c>
      <c r="AA22">
        <f t="shared" si="30"/>
        <v>99999999</v>
      </c>
      <c r="AB22">
        <f t="shared" si="30"/>
        <v>99999999</v>
      </c>
      <c r="AC22">
        <f t="shared" si="30"/>
        <v>99999999</v>
      </c>
      <c r="AD22">
        <f t="shared" si="31"/>
        <v>99999999</v>
      </c>
      <c r="AE22">
        <f t="shared" si="31"/>
        <v>99999999</v>
      </c>
      <c r="AF22">
        <f t="shared" si="31"/>
        <v>99999999</v>
      </c>
      <c r="AG22">
        <f t="shared" si="31"/>
        <v>99999999</v>
      </c>
      <c r="AH22">
        <f t="shared" si="31"/>
        <v>99999999</v>
      </c>
      <c r="AI22">
        <f t="shared" si="31"/>
        <v>99999999</v>
      </c>
      <c r="AJ22">
        <f t="shared" si="31"/>
        <v>99999999</v>
      </c>
      <c r="AK22">
        <f t="shared" si="31"/>
        <v>99999999</v>
      </c>
      <c r="AL22">
        <f t="shared" si="31"/>
        <v>99999999</v>
      </c>
      <c r="AM22">
        <f t="shared" si="31"/>
        <v>99999999</v>
      </c>
      <c r="AN22">
        <f t="shared" si="32"/>
        <v>99999999</v>
      </c>
      <c r="AO22">
        <f t="shared" si="32"/>
        <v>99999999</v>
      </c>
      <c r="AP22">
        <f t="shared" si="32"/>
        <v>99999999</v>
      </c>
      <c r="AQ22">
        <f t="shared" si="32"/>
        <v>99999999</v>
      </c>
      <c r="AR22">
        <f t="shared" si="32"/>
        <v>99999999</v>
      </c>
      <c r="AS22">
        <f t="shared" si="32"/>
        <v>99999999</v>
      </c>
      <c r="AT22">
        <f t="shared" si="32"/>
        <v>99999999</v>
      </c>
      <c r="AU22">
        <f t="shared" si="32"/>
        <v>99999999</v>
      </c>
      <c r="AV22">
        <f t="shared" si="32"/>
        <v>99999999</v>
      </c>
      <c r="AW22">
        <f t="shared" si="32"/>
        <v>99999999</v>
      </c>
      <c r="AX22">
        <f t="shared" si="33"/>
        <v>99999999</v>
      </c>
      <c r="AY22">
        <f t="shared" si="33"/>
        <v>99999999</v>
      </c>
      <c r="AZ22">
        <f t="shared" si="33"/>
        <v>99999999</v>
      </c>
      <c r="BA22">
        <f t="shared" si="33"/>
        <v>99999999</v>
      </c>
      <c r="BB22">
        <f t="shared" si="33"/>
        <v>99999999</v>
      </c>
      <c r="BC22">
        <f t="shared" si="33"/>
        <v>99999999</v>
      </c>
      <c r="BD22">
        <f t="shared" si="33"/>
        <v>99999999</v>
      </c>
      <c r="BE22">
        <f t="shared" si="33"/>
        <v>99999999</v>
      </c>
      <c r="BF22">
        <f t="shared" si="33"/>
        <v>99999999</v>
      </c>
      <c r="BG22">
        <f t="shared" si="33"/>
        <v>99999999</v>
      </c>
      <c r="BH22">
        <f t="shared" si="34"/>
        <v>99999999</v>
      </c>
      <c r="BI22">
        <f t="shared" si="34"/>
        <v>99999999</v>
      </c>
      <c r="BJ22">
        <f t="shared" si="34"/>
        <v>99999999</v>
      </c>
      <c r="BK22">
        <f t="shared" si="34"/>
        <v>99999999</v>
      </c>
      <c r="BL22">
        <f t="shared" si="34"/>
        <v>99999999</v>
      </c>
      <c r="BM22">
        <f t="shared" si="34"/>
        <v>99999999</v>
      </c>
      <c r="BN22">
        <f t="shared" si="34"/>
        <v>99999999</v>
      </c>
      <c r="BO22">
        <f t="shared" si="34"/>
        <v>99999999</v>
      </c>
      <c r="BP22">
        <f t="shared" si="34"/>
        <v>99999999</v>
      </c>
      <c r="BQ22">
        <f t="shared" si="34"/>
        <v>99999999</v>
      </c>
      <c r="BR22">
        <f t="shared" si="35"/>
        <v>99999999</v>
      </c>
      <c r="BS22">
        <f t="shared" si="35"/>
        <v>99999999</v>
      </c>
      <c r="BT22">
        <f t="shared" si="35"/>
        <v>99999999</v>
      </c>
      <c r="BU22">
        <f t="shared" si="35"/>
        <v>99999999</v>
      </c>
      <c r="BV22">
        <f t="shared" si="35"/>
        <v>99999999</v>
      </c>
      <c r="BW22">
        <f t="shared" si="35"/>
        <v>99999999</v>
      </c>
      <c r="BX22">
        <f t="shared" si="35"/>
        <v>99999999</v>
      </c>
      <c r="BY22">
        <f t="shared" si="35"/>
        <v>99999999</v>
      </c>
      <c r="BZ22">
        <f t="shared" si="35"/>
        <v>99999999</v>
      </c>
      <c r="CA22">
        <f t="shared" si="35"/>
        <v>99999999</v>
      </c>
      <c r="CB22">
        <f t="shared" si="36"/>
        <v>99999999</v>
      </c>
      <c r="CC22">
        <f t="shared" si="36"/>
        <v>99999999</v>
      </c>
      <c r="CD22">
        <f t="shared" si="36"/>
        <v>99999999</v>
      </c>
      <c r="CE22">
        <f t="shared" si="36"/>
        <v>99999999</v>
      </c>
      <c r="CF22">
        <f t="shared" si="36"/>
        <v>99999999</v>
      </c>
      <c r="CG22">
        <f t="shared" si="36"/>
        <v>99999999</v>
      </c>
      <c r="CH22">
        <f t="shared" si="36"/>
        <v>99999999</v>
      </c>
      <c r="CI22">
        <f t="shared" si="36"/>
        <v>99999999</v>
      </c>
      <c r="CJ22">
        <f t="shared" si="36"/>
        <v>99999999</v>
      </c>
      <c r="CK22">
        <f t="shared" si="36"/>
        <v>99999999</v>
      </c>
      <c r="CL22">
        <f t="shared" si="37"/>
        <v>99999999</v>
      </c>
      <c r="CM22">
        <f t="shared" si="37"/>
        <v>99999999</v>
      </c>
      <c r="CN22">
        <f t="shared" si="37"/>
        <v>99999999</v>
      </c>
      <c r="CO22">
        <f t="shared" si="37"/>
        <v>99999999</v>
      </c>
      <c r="CP22">
        <f t="shared" si="37"/>
        <v>99999999</v>
      </c>
      <c r="CQ22">
        <f t="shared" si="37"/>
        <v>99999999</v>
      </c>
      <c r="CR22">
        <f t="shared" si="37"/>
        <v>99999999</v>
      </c>
      <c r="CS22">
        <f t="shared" si="37"/>
        <v>99999999</v>
      </c>
      <c r="CT22">
        <f t="shared" si="37"/>
        <v>99999999</v>
      </c>
      <c r="CU22">
        <f t="shared" si="37"/>
        <v>99999999</v>
      </c>
      <c r="CV22">
        <f t="shared" si="38"/>
        <v>99999999</v>
      </c>
      <c r="CW22">
        <f t="shared" si="38"/>
        <v>99999999</v>
      </c>
      <c r="CX22">
        <f t="shared" si="38"/>
        <v>99999999</v>
      </c>
      <c r="CY22">
        <f t="shared" si="38"/>
        <v>99999999</v>
      </c>
      <c r="CZ22">
        <f t="shared" si="38"/>
        <v>99999999</v>
      </c>
      <c r="DA22">
        <f t="shared" si="38"/>
        <v>99999999</v>
      </c>
      <c r="DB22">
        <f t="shared" si="38"/>
        <v>99999999</v>
      </c>
      <c r="DC22">
        <f t="shared" si="38"/>
        <v>99999999</v>
      </c>
      <c r="DD22">
        <f t="shared" si="38"/>
        <v>99999999</v>
      </c>
      <c r="DE22">
        <f t="shared" si="38"/>
        <v>99999999</v>
      </c>
      <c r="DF22">
        <f t="shared" si="39"/>
        <v>99999999</v>
      </c>
      <c r="DG22">
        <f t="shared" si="39"/>
        <v>99999999</v>
      </c>
      <c r="DH22">
        <f t="shared" si="39"/>
        <v>99999999</v>
      </c>
      <c r="DI22">
        <f t="shared" si="39"/>
        <v>99999999</v>
      </c>
      <c r="DJ22">
        <f t="shared" si="39"/>
        <v>99999999</v>
      </c>
      <c r="DK22">
        <f t="shared" si="39"/>
        <v>99999999</v>
      </c>
      <c r="DL22">
        <f t="shared" si="39"/>
        <v>99999999</v>
      </c>
      <c r="DM22">
        <f t="shared" si="39"/>
        <v>99999999</v>
      </c>
      <c r="DN22">
        <f t="shared" si="39"/>
        <v>99999999</v>
      </c>
      <c r="DO22">
        <f t="shared" si="39"/>
        <v>99999999</v>
      </c>
      <c r="DP22">
        <f t="shared" si="40"/>
        <v>99999999</v>
      </c>
      <c r="DQ22">
        <f t="shared" si="40"/>
        <v>99999999</v>
      </c>
      <c r="DR22">
        <f t="shared" si="40"/>
        <v>99999999</v>
      </c>
      <c r="DS22">
        <f t="shared" si="40"/>
        <v>99999999</v>
      </c>
      <c r="DT22">
        <f t="shared" si="40"/>
        <v>99999999</v>
      </c>
      <c r="DU22">
        <f t="shared" si="40"/>
        <v>99999999</v>
      </c>
      <c r="DV22">
        <f t="shared" si="40"/>
        <v>99999999</v>
      </c>
      <c r="DW22">
        <f t="shared" si="40"/>
        <v>99999999</v>
      </c>
      <c r="DX22">
        <f t="shared" si="40"/>
        <v>99999999</v>
      </c>
      <c r="DY22">
        <f t="shared" si="40"/>
        <v>99999999</v>
      </c>
      <c r="DZ22">
        <f t="shared" si="41"/>
        <v>99999999</v>
      </c>
      <c r="EA22">
        <f t="shared" si="41"/>
        <v>99999999</v>
      </c>
      <c r="EB22">
        <f t="shared" si="41"/>
        <v>99999999</v>
      </c>
      <c r="EC22">
        <f t="shared" si="41"/>
        <v>99999999</v>
      </c>
      <c r="ED22">
        <f t="shared" si="41"/>
        <v>99999999</v>
      </c>
      <c r="EE22">
        <f t="shared" si="41"/>
        <v>99999999</v>
      </c>
      <c r="EF22">
        <f t="shared" si="41"/>
        <v>99999999</v>
      </c>
      <c r="EG22">
        <f t="shared" si="41"/>
        <v>99999999</v>
      </c>
      <c r="EH22">
        <f t="shared" si="41"/>
        <v>99999999</v>
      </c>
      <c r="EI22">
        <f t="shared" si="41"/>
        <v>99999999</v>
      </c>
      <c r="EJ22">
        <f t="shared" si="42"/>
        <v>99999999</v>
      </c>
      <c r="EK22">
        <f t="shared" si="42"/>
        <v>99999999</v>
      </c>
      <c r="EL22">
        <f t="shared" si="42"/>
        <v>99999999</v>
      </c>
      <c r="EM22">
        <f t="shared" si="42"/>
        <v>99999999</v>
      </c>
      <c r="EN22">
        <f t="shared" si="42"/>
        <v>99999999</v>
      </c>
      <c r="EO22">
        <f t="shared" si="42"/>
        <v>99999999</v>
      </c>
      <c r="EP22">
        <f t="shared" si="42"/>
        <v>99999999</v>
      </c>
      <c r="EQ22">
        <f t="shared" si="42"/>
        <v>99999999</v>
      </c>
      <c r="ER22">
        <f t="shared" si="42"/>
        <v>99999999</v>
      </c>
      <c r="ES22">
        <f t="shared" si="42"/>
        <v>99999999</v>
      </c>
      <c r="ET22">
        <f t="shared" si="43"/>
        <v>99999999</v>
      </c>
      <c r="EU22">
        <f t="shared" si="43"/>
        <v>99999999</v>
      </c>
      <c r="EV22">
        <f t="shared" si="43"/>
        <v>99999999</v>
      </c>
      <c r="EW22">
        <f t="shared" si="43"/>
        <v>99999999</v>
      </c>
      <c r="EX22">
        <f t="shared" si="43"/>
        <v>99999999</v>
      </c>
      <c r="EY22">
        <f t="shared" si="43"/>
        <v>99999999</v>
      </c>
      <c r="EZ22">
        <f t="shared" si="43"/>
        <v>99999999</v>
      </c>
      <c r="FA22">
        <f t="shared" si="43"/>
        <v>99999999</v>
      </c>
      <c r="FB22">
        <f t="shared" si="43"/>
        <v>99999999</v>
      </c>
      <c r="FC22">
        <f t="shared" si="43"/>
        <v>99999999</v>
      </c>
      <c r="FD22">
        <f t="shared" si="44"/>
        <v>99999999</v>
      </c>
      <c r="FE22">
        <f t="shared" si="44"/>
        <v>99999999</v>
      </c>
      <c r="FF22">
        <f t="shared" si="44"/>
        <v>99999999</v>
      </c>
      <c r="FG22">
        <f t="shared" si="44"/>
        <v>99999999</v>
      </c>
      <c r="FH22">
        <f t="shared" si="44"/>
        <v>99999999</v>
      </c>
      <c r="FI22">
        <f t="shared" si="44"/>
        <v>99999999</v>
      </c>
      <c r="FJ22">
        <f t="shared" si="44"/>
        <v>99999999</v>
      </c>
      <c r="FK22">
        <f t="shared" si="44"/>
        <v>99999999</v>
      </c>
      <c r="FL22">
        <f t="shared" si="44"/>
        <v>99999999</v>
      </c>
      <c r="FM22">
        <f t="shared" si="44"/>
        <v>99999999</v>
      </c>
      <c r="FN22">
        <f t="shared" si="45"/>
        <v>99999999</v>
      </c>
      <c r="FO22">
        <f t="shared" si="45"/>
        <v>99999999</v>
      </c>
      <c r="FP22">
        <f t="shared" si="45"/>
        <v>99999999</v>
      </c>
      <c r="FQ22">
        <f t="shared" si="45"/>
        <v>99999999</v>
      </c>
      <c r="FR22">
        <f t="shared" si="45"/>
        <v>99999999</v>
      </c>
      <c r="FS22">
        <f t="shared" si="45"/>
        <v>99999999</v>
      </c>
      <c r="FT22">
        <f t="shared" si="45"/>
        <v>99999999</v>
      </c>
      <c r="FU22">
        <f t="shared" si="45"/>
        <v>99999999</v>
      </c>
      <c r="FV22">
        <f t="shared" si="45"/>
        <v>99999999</v>
      </c>
      <c r="FW22">
        <f t="shared" si="45"/>
        <v>99999999</v>
      </c>
      <c r="FX22">
        <f t="shared" si="46"/>
        <v>99999999</v>
      </c>
      <c r="FY22">
        <f t="shared" si="46"/>
        <v>99999999</v>
      </c>
      <c r="FZ22">
        <f t="shared" si="46"/>
        <v>99999999</v>
      </c>
      <c r="GA22">
        <f t="shared" si="46"/>
        <v>99999999</v>
      </c>
      <c r="GB22">
        <f t="shared" si="46"/>
        <v>99999999</v>
      </c>
      <c r="GC22">
        <f t="shared" si="46"/>
        <v>99999999</v>
      </c>
      <c r="GD22">
        <f t="shared" si="46"/>
        <v>99999999</v>
      </c>
      <c r="GE22">
        <f t="shared" si="46"/>
        <v>99999999</v>
      </c>
      <c r="GF22">
        <f t="shared" si="46"/>
        <v>99999999</v>
      </c>
      <c r="GG22">
        <f t="shared" si="46"/>
        <v>99999999</v>
      </c>
      <c r="GH22">
        <f t="shared" si="47"/>
        <v>99999999</v>
      </c>
      <c r="GI22">
        <f t="shared" si="47"/>
        <v>99999999</v>
      </c>
      <c r="GJ22">
        <f t="shared" si="47"/>
        <v>99999999</v>
      </c>
      <c r="GK22">
        <f t="shared" si="47"/>
        <v>99999999</v>
      </c>
      <c r="GL22">
        <f t="shared" si="47"/>
        <v>99999999</v>
      </c>
      <c r="GM22">
        <f t="shared" si="47"/>
        <v>99999999</v>
      </c>
      <c r="GN22">
        <f t="shared" si="47"/>
        <v>99999999</v>
      </c>
      <c r="GO22">
        <f t="shared" si="47"/>
        <v>99999999</v>
      </c>
      <c r="GP22">
        <f t="shared" si="47"/>
        <v>99999999</v>
      </c>
      <c r="GQ22">
        <f t="shared" si="47"/>
        <v>99999999</v>
      </c>
      <c r="GR22">
        <f t="shared" si="48"/>
        <v>99999999</v>
      </c>
      <c r="GS22">
        <f t="shared" si="48"/>
        <v>99999999</v>
      </c>
      <c r="GT22">
        <f t="shared" si="48"/>
        <v>99999999</v>
      </c>
      <c r="GU22">
        <f t="shared" si="48"/>
        <v>99999999</v>
      </c>
      <c r="GV22">
        <f t="shared" si="48"/>
        <v>99999999</v>
      </c>
      <c r="GW22">
        <f t="shared" si="48"/>
        <v>99999999</v>
      </c>
      <c r="GX22">
        <f t="shared" si="48"/>
        <v>99999999</v>
      </c>
      <c r="GY22">
        <f t="shared" si="48"/>
        <v>99999999</v>
      </c>
      <c r="GZ22">
        <f t="shared" si="48"/>
        <v>99999999</v>
      </c>
      <c r="HA22">
        <f t="shared" si="48"/>
        <v>99999999</v>
      </c>
      <c r="HB22">
        <f t="shared" si="49"/>
        <v>99999999</v>
      </c>
      <c r="HC22">
        <f t="shared" si="49"/>
        <v>99999999</v>
      </c>
      <c r="HD22">
        <f t="shared" si="49"/>
        <v>99999999</v>
      </c>
      <c r="HE22">
        <f t="shared" si="49"/>
        <v>99999999</v>
      </c>
      <c r="HF22">
        <f t="shared" si="49"/>
        <v>99999999</v>
      </c>
      <c r="HG22">
        <f t="shared" si="49"/>
        <v>99999999</v>
      </c>
      <c r="HH22">
        <f t="shared" si="49"/>
        <v>99999999</v>
      </c>
      <c r="HI22">
        <f t="shared" si="49"/>
        <v>99999999</v>
      </c>
      <c r="HJ22">
        <f t="shared" si="49"/>
        <v>99999999</v>
      </c>
      <c r="HK22">
        <f t="shared" si="49"/>
        <v>99999999</v>
      </c>
      <c r="HL22">
        <f t="shared" si="50"/>
        <v>99999999</v>
      </c>
      <c r="HM22">
        <f t="shared" si="50"/>
        <v>99999999</v>
      </c>
      <c r="HN22">
        <f t="shared" si="50"/>
        <v>99999999</v>
      </c>
      <c r="HO22">
        <f t="shared" si="50"/>
        <v>99999999</v>
      </c>
      <c r="HP22">
        <f t="shared" si="50"/>
        <v>99999999</v>
      </c>
      <c r="HQ22">
        <f t="shared" si="50"/>
        <v>99999999</v>
      </c>
      <c r="HR22">
        <f t="shared" si="50"/>
        <v>99999999</v>
      </c>
      <c r="HS22">
        <f t="shared" si="50"/>
        <v>99999999</v>
      </c>
      <c r="HT22">
        <f t="shared" si="50"/>
        <v>99999999</v>
      </c>
      <c r="HU22">
        <f t="shared" si="50"/>
        <v>99999999</v>
      </c>
      <c r="HV22">
        <f t="shared" si="51"/>
        <v>99999999</v>
      </c>
      <c r="HW22">
        <f t="shared" si="51"/>
        <v>99999999</v>
      </c>
      <c r="HX22">
        <f t="shared" si="51"/>
        <v>99999999</v>
      </c>
      <c r="HY22">
        <f t="shared" si="51"/>
        <v>99999999</v>
      </c>
      <c r="HZ22">
        <f t="shared" si="51"/>
        <v>99999999</v>
      </c>
      <c r="IA22">
        <f t="shared" si="51"/>
        <v>99999999</v>
      </c>
      <c r="IB22">
        <f t="shared" si="51"/>
        <v>99999999</v>
      </c>
      <c r="IC22">
        <f t="shared" si="51"/>
        <v>99999999</v>
      </c>
      <c r="ID22">
        <f t="shared" si="51"/>
        <v>99999999</v>
      </c>
      <c r="IE22">
        <f t="shared" si="51"/>
        <v>99999999</v>
      </c>
      <c r="IF22">
        <f t="shared" si="52"/>
        <v>99999999</v>
      </c>
      <c r="IG22">
        <f t="shared" si="52"/>
        <v>99999999</v>
      </c>
      <c r="IH22">
        <f t="shared" si="52"/>
        <v>99999999</v>
      </c>
      <c r="II22">
        <f t="shared" si="52"/>
        <v>99999999</v>
      </c>
      <c r="IJ22">
        <f t="shared" si="52"/>
        <v>99999999</v>
      </c>
      <c r="IK22">
        <f t="shared" si="52"/>
        <v>99999999</v>
      </c>
      <c r="IL22">
        <f t="shared" si="52"/>
        <v>99999999</v>
      </c>
      <c r="IM22">
        <f t="shared" si="52"/>
        <v>99999999</v>
      </c>
      <c r="IN22">
        <f t="shared" si="52"/>
        <v>99999999</v>
      </c>
      <c r="IO22">
        <f t="shared" si="52"/>
        <v>99999999</v>
      </c>
      <c r="IP22">
        <f t="shared" si="53"/>
        <v>99999999</v>
      </c>
      <c r="IQ22">
        <f t="shared" si="53"/>
        <v>99999999</v>
      </c>
      <c r="IR22">
        <f t="shared" si="53"/>
        <v>99999999</v>
      </c>
      <c r="IS22">
        <f t="shared" si="53"/>
        <v>99999999</v>
      </c>
      <c r="IT22">
        <f t="shared" si="53"/>
        <v>99999999</v>
      </c>
      <c r="IU22">
        <f t="shared" si="53"/>
        <v>99999999</v>
      </c>
      <c r="IV22">
        <f t="shared" si="53"/>
        <v>99999999</v>
      </c>
      <c r="IW22">
        <f t="shared" si="53"/>
        <v>99999999</v>
      </c>
      <c r="IX22">
        <f t="shared" si="53"/>
        <v>99999999</v>
      </c>
      <c r="IY22">
        <f t="shared" si="53"/>
        <v>99999999</v>
      </c>
    </row>
    <row r="23" spans="1:259" x14ac:dyDescent="0.3">
      <c r="A23">
        <f>CAMBIOS!A23</f>
        <v>100</v>
      </c>
      <c r="B23">
        <f>IF(D23=1,CAMBIOS!P23*Valor_1+CAMBIOS!Q23*Valor_2+CAMBIOS!R23*Valor_3,IF(CAMBIOS!P23=1,Valor_1,Valor_2))</f>
        <v>3</v>
      </c>
      <c r="C23">
        <f>IF(D23=1,0,IF(CAMBIOS!R23=1,Valor_3,Valor_2))</f>
        <v>0</v>
      </c>
      <c r="D23">
        <f>CAMBIOS!P23+CAMBIOS!Q23+CAMBIOS!R23</f>
        <v>1</v>
      </c>
      <c r="E23">
        <f t="shared" si="0"/>
        <v>99999999</v>
      </c>
      <c r="F23">
        <f t="shared" si="1"/>
        <v>33</v>
      </c>
      <c r="G23">
        <f t="shared" si="2"/>
        <v>0</v>
      </c>
      <c r="H23">
        <f t="shared" si="3"/>
        <v>1</v>
      </c>
      <c r="J23">
        <f t="shared" si="29"/>
        <v>99999999</v>
      </c>
      <c r="K23">
        <f t="shared" si="29"/>
        <v>99999999</v>
      </c>
      <c r="L23">
        <f t="shared" si="29"/>
        <v>99999999</v>
      </c>
      <c r="M23">
        <f t="shared" si="29"/>
        <v>99999999</v>
      </c>
      <c r="N23">
        <f t="shared" si="29"/>
        <v>99999999</v>
      </c>
      <c r="O23">
        <f t="shared" si="29"/>
        <v>99999999</v>
      </c>
      <c r="P23">
        <f t="shared" si="29"/>
        <v>99999999</v>
      </c>
      <c r="Q23">
        <f t="shared" si="29"/>
        <v>99999999</v>
      </c>
      <c r="R23">
        <f t="shared" si="29"/>
        <v>99999999</v>
      </c>
      <c r="S23">
        <f t="shared" si="29"/>
        <v>99999999</v>
      </c>
      <c r="T23">
        <f t="shared" si="30"/>
        <v>99999999</v>
      </c>
      <c r="U23">
        <f t="shared" si="30"/>
        <v>99999999</v>
      </c>
      <c r="V23">
        <f t="shared" si="30"/>
        <v>99999999</v>
      </c>
      <c r="W23">
        <f t="shared" si="30"/>
        <v>99999999</v>
      </c>
      <c r="X23">
        <f t="shared" si="30"/>
        <v>99999999</v>
      </c>
      <c r="Y23">
        <f t="shared" si="30"/>
        <v>99999999</v>
      </c>
      <c r="Z23">
        <f t="shared" si="30"/>
        <v>99999999</v>
      </c>
      <c r="AA23">
        <f t="shared" si="30"/>
        <v>99999999</v>
      </c>
      <c r="AB23">
        <f t="shared" si="30"/>
        <v>99999999</v>
      </c>
      <c r="AC23">
        <f t="shared" si="30"/>
        <v>99999999</v>
      </c>
      <c r="AD23">
        <f t="shared" si="31"/>
        <v>99999999</v>
      </c>
      <c r="AE23">
        <f t="shared" si="31"/>
        <v>99999999</v>
      </c>
      <c r="AF23">
        <f t="shared" si="31"/>
        <v>99999999</v>
      </c>
      <c r="AG23">
        <f t="shared" si="31"/>
        <v>99999999</v>
      </c>
      <c r="AH23">
        <f t="shared" si="31"/>
        <v>99999999</v>
      </c>
      <c r="AI23">
        <f t="shared" si="31"/>
        <v>99999999</v>
      </c>
      <c r="AJ23">
        <f t="shared" si="31"/>
        <v>99999999</v>
      </c>
      <c r="AK23">
        <f t="shared" si="31"/>
        <v>99999999</v>
      </c>
      <c r="AL23">
        <f t="shared" si="31"/>
        <v>99999999</v>
      </c>
      <c r="AM23">
        <f t="shared" si="31"/>
        <v>99999999</v>
      </c>
      <c r="AN23">
        <f t="shared" si="32"/>
        <v>99999999</v>
      </c>
      <c r="AO23">
        <f t="shared" si="32"/>
        <v>99999999</v>
      </c>
      <c r="AP23">
        <f t="shared" si="32"/>
        <v>99999999</v>
      </c>
      <c r="AQ23">
        <f t="shared" si="32"/>
        <v>99999999</v>
      </c>
      <c r="AR23">
        <f t="shared" si="32"/>
        <v>99999999</v>
      </c>
      <c r="AS23">
        <f t="shared" si="32"/>
        <v>99999999</v>
      </c>
      <c r="AT23">
        <f t="shared" si="32"/>
        <v>99999999</v>
      </c>
      <c r="AU23">
        <f t="shared" si="32"/>
        <v>99999999</v>
      </c>
      <c r="AV23">
        <f t="shared" si="32"/>
        <v>99999999</v>
      </c>
      <c r="AW23">
        <f t="shared" si="32"/>
        <v>99999999</v>
      </c>
      <c r="AX23">
        <f t="shared" si="33"/>
        <v>99999999</v>
      </c>
      <c r="AY23">
        <f t="shared" si="33"/>
        <v>99999999</v>
      </c>
      <c r="AZ23">
        <f t="shared" si="33"/>
        <v>99999999</v>
      </c>
      <c r="BA23">
        <f t="shared" si="33"/>
        <v>99999999</v>
      </c>
      <c r="BB23">
        <f t="shared" si="33"/>
        <v>99999999</v>
      </c>
      <c r="BC23">
        <f t="shared" si="33"/>
        <v>99999999</v>
      </c>
      <c r="BD23">
        <f t="shared" si="33"/>
        <v>99999999</v>
      </c>
      <c r="BE23">
        <f t="shared" si="33"/>
        <v>99999999</v>
      </c>
      <c r="BF23">
        <f t="shared" si="33"/>
        <v>99999999</v>
      </c>
      <c r="BG23">
        <f t="shared" si="33"/>
        <v>99999999</v>
      </c>
      <c r="BH23">
        <f t="shared" si="34"/>
        <v>99999999</v>
      </c>
      <c r="BI23">
        <f t="shared" si="34"/>
        <v>99999999</v>
      </c>
      <c r="BJ23">
        <f t="shared" si="34"/>
        <v>99999999</v>
      </c>
      <c r="BK23">
        <f t="shared" si="34"/>
        <v>99999999</v>
      </c>
      <c r="BL23">
        <f t="shared" si="34"/>
        <v>99999999</v>
      </c>
      <c r="BM23">
        <f t="shared" si="34"/>
        <v>99999999</v>
      </c>
      <c r="BN23">
        <f t="shared" si="34"/>
        <v>99999999</v>
      </c>
      <c r="BO23">
        <f t="shared" si="34"/>
        <v>99999999</v>
      </c>
      <c r="BP23">
        <f t="shared" si="34"/>
        <v>99999999</v>
      </c>
      <c r="BQ23">
        <f t="shared" si="34"/>
        <v>99999999</v>
      </c>
      <c r="BR23">
        <f t="shared" si="35"/>
        <v>99999999</v>
      </c>
      <c r="BS23">
        <f t="shared" si="35"/>
        <v>99999999</v>
      </c>
      <c r="BT23">
        <f t="shared" si="35"/>
        <v>99999999</v>
      </c>
      <c r="BU23">
        <f t="shared" si="35"/>
        <v>99999999</v>
      </c>
      <c r="BV23">
        <f t="shared" si="35"/>
        <v>99999999</v>
      </c>
      <c r="BW23">
        <f t="shared" si="35"/>
        <v>99999999</v>
      </c>
      <c r="BX23">
        <f t="shared" si="35"/>
        <v>99999999</v>
      </c>
      <c r="BY23">
        <f t="shared" si="35"/>
        <v>99999999</v>
      </c>
      <c r="BZ23">
        <f t="shared" si="35"/>
        <v>99999999</v>
      </c>
      <c r="CA23">
        <f t="shared" si="35"/>
        <v>99999999</v>
      </c>
      <c r="CB23">
        <f t="shared" si="36"/>
        <v>99999999</v>
      </c>
      <c r="CC23">
        <f t="shared" si="36"/>
        <v>99999999</v>
      </c>
      <c r="CD23">
        <f t="shared" si="36"/>
        <v>99999999</v>
      </c>
      <c r="CE23">
        <f t="shared" si="36"/>
        <v>99999999</v>
      </c>
      <c r="CF23">
        <f t="shared" si="36"/>
        <v>99999999</v>
      </c>
      <c r="CG23">
        <f t="shared" si="36"/>
        <v>99999999</v>
      </c>
      <c r="CH23">
        <f t="shared" si="36"/>
        <v>99999999</v>
      </c>
      <c r="CI23">
        <f t="shared" si="36"/>
        <v>99999999</v>
      </c>
      <c r="CJ23">
        <f t="shared" si="36"/>
        <v>99999999</v>
      </c>
      <c r="CK23">
        <f t="shared" si="36"/>
        <v>99999999</v>
      </c>
      <c r="CL23">
        <f t="shared" si="37"/>
        <v>99999999</v>
      </c>
      <c r="CM23">
        <f t="shared" si="37"/>
        <v>99999999</v>
      </c>
      <c r="CN23">
        <f t="shared" si="37"/>
        <v>99999999</v>
      </c>
      <c r="CO23">
        <f t="shared" si="37"/>
        <v>99999999</v>
      </c>
      <c r="CP23">
        <f t="shared" si="37"/>
        <v>99999999</v>
      </c>
      <c r="CQ23">
        <f t="shared" si="37"/>
        <v>99999999</v>
      </c>
      <c r="CR23">
        <f t="shared" si="37"/>
        <v>99999999</v>
      </c>
      <c r="CS23">
        <f t="shared" si="37"/>
        <v>99999999</v>
      </c>
      <c r="CT23">
        <f t="shared" si="37"/>
        <v>99999999</v>
      </c>
      <c r="CU23">
        <f t="shared" si="37"/>
        <v>99999999</v>
      </c>
      <c r="CV23">
        <f t="shared" si="38"/>
        <v>99999999</v>
      </c>
      <c r="CW23">
        <f t="shared" si="38"/>
        <v>99999999</v>
      </c>
      <c r="CX23">
        <f t="shared" si="38"/>
        <v>99999999</v>
      </c>
      <c r="CY23">
        <f t="shared" si="38"/>
        <v>99999999</v>
      </c>
      <c r="CZ23">
        <f t="shared" si="38"/>
        <v>99999999</v>
      </c>
      <c r="DA23">
        <f t="shared" si="38"/>
        <v>99999999</v>
      </c>
      <c r="DB23">
        <f t="shared" si="38"/>
        <v>99999999</v>
      </c>
      <c r="DC23">
        <f t="shared" si="38"/>
        <v>99999999</v>
      </c>
      <c r="DD23">
        <f t="shared" si="38"/>
        <v>99999999</v>
      </c>
      <c r="DE23">
        <f t="shared" si="38"/>
        <v>99999999</v>
      </c>
      <c r="DF23">
        <f t="shared" si="39"/>
        <v>99999999</v>
      </c>
      <c r="DG23">
        <f t="shared" si="39"/>
        <v>99999999</v>
      </c>
      <c r="DH23">
        <f t="shared" si="39"/>
        <v>99999999</v>
      </c>
      <c r="DI23">
        <f t="shared" si="39"/>
        <v>99999999</v>
      </c>
      <c r="DJ23">
        <f t="shared" si="39"/>
        <v>99999999</v>
      </c>
      <c r="DK23">
        <f t="shared" si="39"/>
        <v>99999999</v>
      </c>
      <c r="DL23">
        <f t="shared" si="39"/>
        <v>99999999</v>
      </c>
      <c r="DM23">
        <f t="shared" si="39"/>
        <v>99999999</v>
      </c>
      <c r="DN23">
        <f t="shared" si="39"/>
        <v>99999999</v>
      </c>
      <c r="DO23">
        <f t="shared" si="39"/>
        <v>99999999</v>
      </c>
      <c r="DP23">
        <f t="shared" si="40"/>
        <v>99999999</v>
      </c>
      <c r="DQ23">
        <f t="shared" si="40"/>
        <v>99999999</v>
      </c>
      <c r="DR23">
        <f t="shared" si="40"/>
        <v>99999999</v>
      </c>
      <c r="DS23">
        <f t="shared" si="40"/>
        <v>99999999</v>
      </c>
      <c r="DT23">
        <f t="shared" si="40"/>
        <v>99999999</v>
      </c>
      <c r="DU23">
        <f t="shared" si="40"/>
        <v>99999999</v>
      </c>
      <c r="DV23">
        <f t="shared" si="40"/>
        <v>99999999</v>
      </c>
      <c r="DW23">
        <f t="shared" si="40"/>
        <v>99999999</v>
      </c>
      <c r="DX23">
        <f t="shared" si="40"/>
        <v>99999999</v>
      </c>
      <c r="DY23">
        <f t="shared" si="40"/>
        <v>99999999</v>
      </c>
      <c r="DZ23">
        <f t="shared" si="41"/>
        <v>99999999</v>
      </c>
      <c r="EA23">
        <f t="shared" si="41"/>
        <v>99999999</v>
      </c>
      <c r="EB23">
        <f t="shared" si="41"/>
        <v>99999999</v>
      </c>
      <c r="EC23">
        <f t="shared" si="41"/>
        <v>99999999</v>
      </c>
      <c r="ED23">
        <f t="shared" si="41"/>
        <v>99999999</v>
      </c>
      <c r="EE23">
        <f t="shared" si="41"/>
        <v>99999999</v>
      </c>
      <c r="EF23">
        <f t="shared" si="41"/>
        <v>99999999</v>
      </c>
      <c r="EG23">
        <f t="shared" si="41"/>
        <v>99999999</v>
      </c>
      <c r="EH23">
        <f t="shared" si="41"/>
        <v>99999999</v>
      </c>
      <c r="EI23">
        <f t="shared" si="41"/>
        <v>99999999</v>
      </c>
      <c r="EJ23">
        <f t="shared" si="42"/>
        <v>99999999</v>
      </c>
      <c r="EK23">
        <f t="shared" si="42"/>
        <v>99999999</v>
      </c>
      <c r="EL23">
        <f t="shared" si="42"/>
        <v>99999999</v>
      </c>
      <c r="EM23">
        <f t="shared" si="42"/>
        <v>99999999</v>
      </c>
      <c r="EN23">
        <f t="shared" si="42"/>
        <v>99999999</v>
      </c>
      <c r="EO23">
        <f t="shared" si="42"/>
        <v>99999999</v>
      </c>
      <c r="EP23">
        <f t="shared" si="42"/>
        <v>99999999</v>
      </c>
      <c r="EQ23">
        <f t="shared" si="42"/>
        <v>99999999</v>
      </c>
      <c r="ER23">
        <f t="shared" si="42"/>
        <v>99999999</v>
      </c>
      <c r="ES23">
        <f t="shared" si="42"/>
        <v>99999999</v>
      </c>
      <c r="ET23">
        <f t="shared" si="43"/>
        <v>99999999</v>
      </c>
      <c r="EU23">
        <f t="shared" si="43"/>
        <v>99999999</v>
      </c>
      <c r="EV23">
        <f t="shared" si="43"/>
        <v>99999999</v>
      </c>
      <c r="EW23">
        <f t="shared" si="43"/>
        <v>99999999</v>
      </c>
      <c r="EX23">
        <f t="shared" si="43"/>
        <v>99999999</v>
      </c>
      <c r="EY23">
        <f t="shared" si="43"/>
        <v>99999999</v>
      </c>
      <c r="EZ23">
        <f t="shared" si="43"/>
        <v>99999999</v>
      </c>
      <c r="FA23">
        <f t="shared" si="43"/>
        <v>99999999</v>
      </c>
      <c r="FB23">
        <f t="shared" si="43"/>
        <v>99999999</v>
      </c>
      <c r="FC23">
        <f t="shared" si="43"/>
        <v>99999999</v>
      </c>
      <c r="FD23">
        <f t="shared" si="44"/>
        <v>99999999</v>
      </c>
      <c r="FE23">
        <f t="shared" si="44"/>
        <v>99999999</v>
      </c>
      <c r="FF23">
        <f t="shared" si="44"/>
        <v>99999999</v>
      </c>
      <c r="FG23">
        <f t="shared" si="44"/>
        <v>99999999</v>
      </c>
      <c r="FH23">
        <f t="shared" si="44"/>
        <v>99999999</v>
      </c>
      <c r="FI23">
        <f t="shared" si="44"/>
        <v>99999999</v>
      </c>
      <c r="FJ23">
        <f t="shared" si="44"/>
        <v>99999999</v>
      </c>
      <c r="FK23">
        <f t="shared" si="44"/>
        <v>99999999</v>
      </c>
      <c r="FL23">
        <f t="shared" si="44"/>
        <v>99999999</v>
      </c>
      <c r="FM23">
        <f t="shared" si="44"/>
        <v>99999999</v>
      </c>
      <c r="FN23">
        <f t="shared" si="45"/>
        <v>99999999</v>
      </c>
      <c r="FO23">
        <f t="shared" si="45"/>
        <v>99999999</v>
      </c>
      <c r="FP23">
        <f t="shared" si="45"/>
        <v>99999999</v>
      </c>
      <c r="FQ23">
        <f t="shared" si="45"/>
        <v>99999999</v>
      </c>
      <c r="FR23">
        <f t="shared" si="45"/>
        <v>99999999</v>
      </c>
      <c r="FS23">
        <f t="shared" si="45"/>
        <v>99999999</v>
      </c>
      <c r="FT23">
        <f t="shared" si="45"/>
        <v>99999999</v>
      </c>
      <c r="FU23">
        <f t="shared" si="45"/>
        <v>99999999</v>
      </c>
      <c r="FV23">
        <f t="shared" si="45"/>
        <v>99999999</v>
      </c>
      <c r="FW23">
        <f t="shared" si="45"/>
        <v>99999999</v>
      </c>
      <c r="FX23">
        <f t="shared" si="46"/>
        <v>99999999</v>
      </c>
      <c r="FY23">
        <f t="shared" si="46"/>
        <v>99999999</v>
      </c>
      <c r="FZ23">
        <f t="shared" si="46"/>
        <v>99999999</v>
      </c>
      <c r="GA23">
        <f t="shared" si="46"/>
        <v>99999999</v>
      </c>
      <c r="GB23">
        <f t="shared" si="46"/>
        <v>99999999</v>
      </c>
      <c r="GC23">
        <f t="shared" si="46"/>
        <v>99999999</v>
      </c>
      <c r="GD23">
        <f t="shared" si="46"/>
        <v>99999999</v>
      </c>
      <c r="GE23">
        <f t="shared" si="46"/>
        <v>99999999</v>
      </c>
      <c r="GF23">
        <f t="shared" si="46"/>
        <v>99999999</v>
      </c>
      <c r="GG23">
        <f t="shared" si="46"/>
        <v>99999999</v>
      </c>
      <c r="GH23">
        <f t="shared" si="47"/>
        <v>99999999</v>
      </c>
      <c r="GI23">
        <f t="shared" si="47"/>
        <v>99999999</v>
      </c>
      <c r="GJ23">
        <f t="shared" si="47"/>
        <v>99999999</v>
      </c>
      <c r="GK23">
        <f t="shared" si="47"/>
        <v>99999999</v>
      </c>
      <c r="GL23">
        <f t="shared" si="47"/>
        <v>99999999</v>
      </c>
      <c r="GM23">
        <f t="shared" si="47"/>
        <v>99999999</v>
      </c>
      <c r="GN23">
        <f t="shared" si="47"/>
        <v>99999999</v>
      </c>
      <c r="GO23">
        <f t="shared" si="47"/>
        <v>99999999</v>
      </c>
      <c r="GP23">
        <f t="shared" si="47"/>
        <v>99999999</v>
      </c>
      <c r="GQ23">
        <f t="shared" si="47"/>
        <v>99999999</v>
      </c>
      <c r="GR23">
        <f t="shared" si="48"/>
        <v>99999999</v>
      </c>
      <c r="GS23">
        <f t="shared" si="48"/>
        <v>99999999</v>
      </c>
      <c r="GT23">
        <f t="shared" si="48"/>
        <v>99999999</v>
      </c>
      <c r="GU23">
        <f t="shared" si="48"/>
        <v>99999999</v>
      </c>
      <c r="GV23">
        <f t="shared" si="48"/>
        <v>99999999</v>
      </c>
      <c r="GW23">
        <f t="shared" si="48"/>
        <v>99999999</v>
      </c>
      <c r="GX23">
        <f t="shared" si="48"/>
        <v>99999999</v>
      </c>
      <c r="GY23">
        <f t="shared" si="48"/>
        <v>99999999</v>
      </c>
      <c r="GZ23">
        <f t="shared" si="48"/>
        <v>99999999</v>
      </c>
      <c r="HA23">
        <f t="shared" si="48"/>
        <v>99999999</v>
      </c>
      <c r="HB23">
        <f t="shared" si="49"/>
        <v>99999999</v>
      </c>
      <c r="HC23">
        <f t="shared" si="49"/>
        <v>99999999</v>
      </c>
      <c r="HD23">
        <f t="shared" si="49"/>
        <v>99999999</v>
      </c>
      <c r="HE23">
        <f t="shared" si="49"/>
        <v>99999999</v>
      </c>
      <c r="HF23">
        <f t="shared" si="49"/>
        <v>99999999</v>
      </c>
      <c r="HG23">
        <f t="shared" si="49"/>
        <v>99999999</v>
      </c>
      <c r="HH23">
        <f t="shared" si="49"/>
        <v>99999999</v>
      </c>
      <c r="HI23">
        <f t="shared" si="49"/>
        <v>99999999</v>
      </c>
      <c r="HJ23">
        <f t="shared" si="49"/>
        <v>99999999</v>
      </c>
      <c r="HK23">
        <f t="shared" si="49"/>
        <v>99999999</v>
      </c>
      <c r="HL23">
        <f t="shared" si="50"/>
        <v>99999999</v>
      </c>
      <c r="HM23">
        <f t="shared" si="50"/>
        <v>99999999</v>
      </c>
      <c r="HN23">
        <f t="shared" si="50"/>
        <v>99999999</v>
      </c>
      <c r="HO23">
        <f t="shared" si="50"/>
        <v>99999999</v>
      </c>
      <c r="HP23">
        <f t="shared" si="50"/>
        <v>99999999</v>
      </c>
      <c r="HQ23">
        <f t="shared" si="50"/>
        <v>99999999</v>
      </c>
      <c r="HR23">
        <f t="shared" si="50"/>
        <v>99999999</v>
      </c>
      <c r="HS23">
        <f t="shared" si="50"/>
        <v>99999999</v>
      </c>
      <c r="HT23">
        <f t="shared" si="50"/>
        <v>99999999</v>
      </c>
      <c r="HU23">
        <f t="shared" si="50"/>
        <v>99999999</v>
      </c>
      <c r="HV23">
        <f t="shared" si="51"/>
        <v>99999999</v>
      </c>
      <c r="HW23">
        <f t="shared" si="51"/>
        <v>99999999</v>
      </c>
      <c r="HX23">
        <f t="shared" si="51"/>
        <v>99999999</v>
      </c>
      <c r="HY23">
        <f t="shared" si="51"/>
        <v>99999999</v>
      </c>
      <c r="HZ23">
        <f t="shared" si="51"/>
        <v>99999999</v>
      </c>
      <c r="IA23">
        <f t="shared" si="51"/>
        <v>99999999</v>
      </c>
      <c r="IB23">
        <f t="shared" si="51"/>
        <v>99999999</v>
      </c>
      <c r="IC23">
        <f t="shared" si="51"/>
        <v>99999999</v>
      </c>
      <c r="ID23">
        <f t="shared" si="51"/>
        <v>99999999</v>
      </c>
      <c r="IE23">
        <f t="shared" si="51"/>
        <v>99999999</v>
      </c>
      <c r="IF23">
        <f t="shared" si="52"/>
        <v>99999999</v>
      </c>
      <c r="IG23">
        <f t="shared" si="52"/>
        <v>99999999</v>
      </c>
      <c r="IH23">
        <f t="shared" si="52"/>
        <v>99999999</v>
      </c>
      <c r="II23">
        <f t="shared" si="52"/>
        <v>99999999</v>
      </c>
      <c r="IJ23">
        <f t="shared" si="52"/>
        <v>99999999</v>
      </c>
      <c r="IK23">
        <f t="shared" si="52"/>
        <v>99999999</v>
      </c>
      <c r="IL23">
        <f t="shared" si="52"/>
        <v>99999999</v>
      </c>
      <c r="IM23">
        <f t="shared" si="52"/>
        <v>99999999</v>
      </c>
      <c r="IN23">
        <f t="shared" si="52"/>
        <v>99999999</v>
      </c>
      <c r="IO23">
        <f t="shared" si="52"/>
        <v>99999999</v>
      </c>
      <c r="IP23">
        <f t="shared" si="53"/>
        <v>99999999</v>
      </c>
      <c r="IQ23">
        <f t="shared" si="53"/>
        <v>99999999</v>
      </c>
      <c r="IR23">
        <f t="shared" si="53"/>
        <v>99999999</v>
      </c>
      <c r="IS23">
        <f t="shared" si="53"/>
        <v>99999999</v>
      </c>
      <c r="IT23">
        <f t="shared" si="53"/>
        <v>99999999</v>
      </c>
      <c r="IU23">
        <f t="shared" si="53"/>
        <v>99999999</v>
      </c>
      <c r="IV23">
        <f t="shared" si="53"/>
        <v>99999999</v>
      </c>
      <c r="IW23">
        <f t="shared" si="53"/>
        <v>99999999</v>
      </c>
      <c r="IX23">
        <f t="shared" si="53"/>
        <v>99999999</v>
      </c>
      <c r="IY23">
        <f t="shared" si="53"/>
        <v>99999999</v>
      </c>
    </row>
    <row r="24" spans="1:259" x14ac:dyDescent="0.3">
      <c r="A24">
        <f>CAMBIOS!A24</f>
        <v>100</v>
      </c>
      <c r="B24">
        <f>IF(D24=1,CAMBIOS!P24*Valor_1+CAMBIOS!Q24*Valor_2+CAMBIOS!R24*Valor_3,IF(CAMBIOS!P24=1,Valor_1,Valor_2))</f>
        <v>5</v>
      </c>
      <c r="C24">
        <f>IF(D24=1,0,IF(CAMBIOS!R24=1,Valor_3,Valor_2))</f>
        <v>0</v>
      </c>
      <c r="D24">
        <f>CAMBIOS!P24+CAMBIOS!Q24+CAMBIOS!R24</f>
        <v>1</v>
      </c>
      <c r="E24">
        <f t="shared" si="0"/>
        <v>99999999</v>
      </c>
      <c r="F24">
        <f t="shared" si="1"/>
        <v>20</v>
      </c>
      <c r="G24">
        <f t="shared" si="2"/>
        <v>0</v>
      </c>
      <c r="H24">
        <f t="shared" si="3"/>
        <v>0</v>
      </c>
      <c r="J24">
        <f t="shared" si="29"/>
        <v>99999999</v>
      </c>
      <c r="K24">
        <f t="shared" si="29"/>
        <v>99999999</v>
      </c>
      <c r="L24">
        <f t="shared" si="29"/>
        <v>99999999</v>
      </c>
      <c r="M24">
        <f t="shared" si="29"/>
        <v>99999999</v>
      </c>
      <c r="N24">
        <f t="shared" si="29"/>
        <v>99999999</v>
      </c>
      <c r="O24">
        <f t="shared" si="29"/>
        <v>99999999</v>
      </c>
      <c r="P24">
        <f t="shared" si="29"/>
        <v>99999999</v>
      </c>
      <c r="Q24">
        <f t="shared" si="29"/>
        <v>99999999</v>
      </c>
      <c r="R24">
        <f t="shared" si="29"/>
        <v>99999999</v>
      </c>
      <c r="S24">
        <f t="shared" si="29"/>
        <v>99999999</v>
      </c>
      <c r="T24">
        <f t="shared" si="30"/>
        <v>99999999</v>
      </c>
      <c r="U24">
        <f t="shared" si="30"/>
        <v>99999999</v>
      </c>
      <c r="V24">
        <f t="shared" si="30"/>
        <v>99999999</v>
      </c>
      <c r="W24">
        <f t="shared" si="30"/>
        <v>99999999</v>
      </c>
      <c r="X24">
        <f t="shared" si="30"/>
        <v>99999999</v>
      </c>
      <c r="Y24">
        <f t="shared" si="30"/>
        <v>99999999</v>
      </c>
      <c r="Z24">
        <f t="shared" si="30"/>
        <v>99999999</v>
      </c>
      <c r="AA24">
        <f t="shared" si="30"/>
        <v>99999999</v>
      </c>
      <c r="AB24">
        <f t="shared" si="30"/>
        <v>99999999</v>
      </c>
      <c r="AC24">
        <f t="shared" si="30"/>
        <v>99999999</v>
      </c>
      <c r="AD24">
        <f t="shared" si="31"/>
        <v>99999999</v>
      </c>
      <c r="AE24">
        <f t="shared" si="31"/>
        <v>99999999</v>
      </c>
      <c r="AF24">
        <f t="shared" si="31"/>
        <v>99999999</v>
      </c>
      <c r="AG24">
        <f t="shared" si="31"/>
        <v>99999999</v>
      </c>
      <c r="AH24">
        <f t="shared" si="31"/>
        <v>99999999</v>
      </c>
      <c r="AI24">
        <f t="shared" si="31"/>
        <v>99999999</v>
      </c>
      <c r="AJ24">
        <f t="shared" si="31"/>
        <v>99999999</v>
      </c>
      <c r="AK24">
        <f t="shared" si="31"/>
        <v>99999999</v>
      </c>
      <c r="AL24">
        <f t="shared" si="31"/>
        <v>99999999</v>
      </c>
      <c r="AM24">
        <f t="shared" si="31"/>
        <v>99999999</v>
      </c>
      <c r="AN24">
        <f t="shared" si="32"/>
        <v>99999999</v>
      </c>
      <c r="AO24">
        <f t="shared" si="32"/>
        <v>99999999</v>
      </c>
      <c r="AP24">
        <f t="shared" si="32"/>
        <v>99999999</v>
      </c>
      <c r="AQ24">
        <f t="shared" si="32"/>
        <v>99999999</v>
      </c>
      <c r="AR24">
        <f t="shared" si="32"/>
        <v>99999999</v>
      </c>
      <c r="AS24">
        <f t="shared" si="32"/>
        <v>99999999</v>
      </c>
      <c r="AT24">
        <f t="shared" si="32"/>
        <v>99999999</v>
      </c>
      <c r="AU24">
        <f t="shared" si="32"/>
        <v>99999999</v>
      </c>
      <c r="AV24">
        <f t="shared" si="32"/>
        <v>99999999</v>
      </c>
      <c r="AW24">
        <f t="shared" si="32"/>
        <v>99999999</v>
      </c>
      <c r="AX24">
        <f t="shared" si="33"/>
        <v>99999999</v>
      </c>
      <c r="AY24">
        <f t="shared" si="33"/>
        <v>99999999</v>
      </c>
      <c r="AZ24">
        <f t="shared" si="33"/>
        <v>99999999</v>
      </c>
      <c r="BA24">
        <f t="shared" si="33"/>
        <v>99999999</v>
      </c>
      <c r="BB24">
        <f t="shared" si="33"/>
        <v>99999999</v>
      </c>
      <c r="BC24">
        <f t="shared" si="33"/>
        <v>99999999</v>
      </c>
      <c r="BD24">
        <f t="shared" si="33"/>
        <v>99999999</v>
      </c>
      <c r="BE24">
        <f t="shared" si="33"/>
        <v>99999999</v>
      </c>
      <c r="BF24">
        <f t="shared" si="33"/>
        <v>99999999</v>
      </c>
      <c r="BG24">
        <f t="shared" si="33"/>
        <v>99999999</v>
      </c>
      <c r="BH24">
        <f t="shared" si="34"/>
        <v>99999999</v>
      </c>
      <c r="BI24">
        <f t="shared" si="34"/>
        <v>99999999</v>
      </c>
      <c r="BJ24">
        <f t="shared" si="34"/>
        <v>99999999</v>
      </c>
      <c r="BK24">
        <f t="shared" si="34"/>
        <v>99999999</v>
      </c>
      <c r="BL24">
        <f t="shared" si="34"/>
        <v>99999999</v>
      </c>
      <c r="BM24">
        <f t="shared" si="34"/>
        <v>99999999</v>
      </c>
      <c r="BN24">
        <f t="shared" si="34"/>
        <v>99999999</v>
      </c>
      <c r="BO24">
        <f t="shared" si="34"/>
        <v>99999999</v>
      </c>
      <c r="BP24">
        <f t="shared" si="34"/>
        <v>99999999</v>
      </c>
      <c r="BQ24">
        <f t="shared" si="34"/>
        <v>99999999</v>
      </c>
      <c r="BR24">
        <f t="shared" si="35"/>
        <v>99999999</v>
      </c>
      <c r="BS24">
        <f t="shared" si="35"/>
        <v>99999999</v>
      </c>
      <c r="BT24">
        <f t="shared" si="35"/>
        <v>99999999</v>
      </c>
      <c r="BU24">
        <f t="shared" si="35"/>
        <v>99999999</v>
      </c>
      <c r="BV24">
        <f t="shared" si="35"/>
        <v>99999999</v>
      </c>
      <c r="BW24">
        <f t="shared" si="35"/>
        <v>99999999</v>
      </c>
      <c r="BX24">
        <f t="shared" si="35"/>
        <v>99999999</v>
      </c>
      <c r="BY24">
        <f t="shared" si="35"/>
        <v>99999999</v>
      </c>
      <c r="BZ24">
        <f t="shared" si="35"/>
        <v>99999999</v>
      </c>
      <c r="CA24">
        <f t="shared" si="35"/>
        <v>99999999</v>
      </c>
      <c r="CB24">
        <f t="shared" si="36"/>
        <v>99999999</v>
      </c>
      <c r="CC24">
        <f t="shared" si="36"/>
        <v>99999999</v>
      </c>
      <c r="CD24">
        <f t="shared" si="36"/>
        <v>99999999</v>
      </c>
      <c r="CE24">
        <f t="shared" si="36"/>
        <v>99999999</v>
      </c>
      <c r="CF24">
        <f t="shared" si="36"/>
        <v>99999999</v>
      </c>
      <c r="CG24">
        <f t="shared" si="36"/>
        <v>99999999</v>
      </c>
      <c r="CH24">
        <f t="shared" si="36"/>
        <v>99999999</v>
      </c>
      <c r="CI24">
        <f t="shared" si="36"/>
        <v>99999999</v>
      </c>
      <c r="CJ24">
        <f t="shared" si="36"/>
        <v>99999999</v>
      </c>
      <c r="CK24">
        <f t="shared" si="36"/>
        <v>99999999</v>
      </c>
      <c r="CL24">
        <f t="shared" si="37"/>
        <v>99999999</v>
      </c>
      <c r="CM24">
        <f t="shared" si="37"/>
        <v>99999999</v>
      </c>
      <c r="CN24">
        <f t="shared" si="37"/>
        <v>99999999</v>
      </c>
      <c r="CO24">
        <f t="shared" si="37"/>
        <v>99999999</v>
      </c>
      <c r="CP24">
        <f t="shared" si="37"/>
        <v>99999999</v>
      </c>
      <c r="CQ24">
        <f t="shared" si="37"/>
        <v>99999999</v>
      </c>
      <c r="CR24">
        <f t="shared" si="37"/>
        <v>99999999</v>
      </c>
      <c r="CS24">
        <f t="shared" si="37"/>
        <v>99999999</v>
      </c>
      <c r="CT24">
        <f t="shared" si="37"/>
        <v>99999999</v>
      </c>
      <c r="CU24">
        <f t="shared" si="37"/>
        <v>99999999</v>
      </c>
      <c r="CV24">
        <f t="shared" si="38"/>
        <v>99999999</v>
      </c>
      <c r="CW24">
        <f t="shared" si="38"/>
        <v>99999999</v>
      </c>
      <c r="CX24">
        <f t="shared" si="38"/>
        <v>99999999</v>
      </c>
      <c r="CY24">
        <f t="shared" si="38"/>
        <v>99999999</v>
      </c>
      <c r="CZ24">
        <f t="shared" si="38"/>
        <v>99999999</v>
      </c>
      <c r="DA24">
        <f t="shared" si="38"/>
        <v>99999999</v>
      </c>
      <c r="DB24">
        <f t="shared" si="38"/>
        <v>99999999</v>
      </c>
      <c r="DC24">
        <f t="shared" si="38"/>
        <v>99999999</v>
      </c>
      <c r="DD24">
        <f t="shared" si="38"/>
        <v>99999999</v>
      </c>
      <c r="DE24">
        <f t="shared" si="38"/>
        <v>99999999</v>
      </c>
      <c r="DF24">
        <f t="shared" si="39"/>
        <v>99999999</v>
      </c>
      <c r="DG24">
        <f t="shared" si="39"/>
        <v>99999999</v>
      </c>
      <c r="DH24">
        <f t="shared" si="39"/>
        <v>99999999</v>
      </c>
      <c r="DI24">
        <f t="shared" si="39"/>
        <v>99999999</v>
      </c>
      <c r="DJ24">
        <f t="shared" si="39"/>
        <v>99999999</v>
      </c>
      <c r="DK24">
        <f t="shared" si="39"/>
        <v>99999999</v>
      </c>
      <c r="DL24">
        <f t="shared" si="39"/>
        <v>99999999</v>
      </c>
      <c r="DM24">
        <f t="shared" si="39"/>
        <v>99999999</v>
      </c>
      <c r="DN24">
        <f t="shared" si="39"/>
        <v>99999999</v>
      </c>
      <c r="DO24">
        <f t="shared" si="39"/>
        <v>99999999</v>
      </c>
      <c r="DP24">
        <f t="shared" si="40"/>
        <v>99999999</v>
      </c>
      <c r="DQ24">
        <f t="shared" si="40"/>
        <v>99999999</v>
      </c>
      <c r="DR24">
        <f t="shared" si="40"/>
        <v>99999999</v>
      </c>
      <c r="DS24">
        <f t="shared" si="40"/>
        <v>99999999</v>
      </c>
      <c r="DT24">
        <f t="shared" si="40"/>
        <v>99999999</v>
      </c>
      <c r="DU24">
        <f t="shared" si="40"/>
        <v>99999999</v>
      </c>
      <c r="DV24">
        <f t="shared" si="40"/>
        <v>99999999</v>
      </c>
      <c r="DW24">
        <f t="shared" si="40"/>
        <v>99999999</v>
      </c>
      <c r="DX24">
        <f t="shared" si="40"/>
        <v>99999999</v>
      </c>
      <c r="DY24">
        <f t="shared" si="40"/>
        <v>99999999</v>
      </c>
      <c r="DZ24">
        <f t="shared" si="41"/>
        <v>99999999</v>
      </c>
      <c r="EA24">
        <f t="shared" si="41"/>
        <v>99999999</v>
      </c>
      <c r="EB24">
        <f t="shared" si="41"/>
        <v>99999999</v>
      </c>
      <c r="EC24">
        <f t="shared" si="41"/>
        <v>99999999</v>
      </c>
      <c r="ED24">
        <f t="shared" si="41"/>
        <v>99999999</v>
      </c>
      <c r="EE24">
        <f t="shared" si="41"/>
        <v>99999999</v>
      </c>
      <c r="EF24">
        <f t="shared" si="41"/>
        <v>99999999</v>
      </c>
      <c r="EG24">
        <f t="shared" si="41"/>
        <v>99999999</v>
      </c>
      <c r="EH24">
        <f t="shared" si="41"/>
        <v>99999999</v>
      </c>
      <c r="EI24">
        <f t="shared" si="41"/>
        <v>99999999</v>
      </c>
      <c r="EJ24">
        <f t="shared" si="42"/>
        <v>99999999</v>
      </c>
      <c r="EK24">
        <f t="shared" si="42"/>
        <v>99999999</v>
      </c>
      <c r="EL24">
        <f t="shared" si="42"/>
        <v>99999999</v>
      </c>
      <c r="EM24">
        <f t="shared" si="42"/>
        <v>99999999</v>
      </c>
      <c r="EN24">
        <f t="shared" si="42"/>
        <v>99999999</v>
      </c>
      <c r="EO24">
        <f t="shared" si="42"/>
        <v>99999999</v>
      </c>
      <c r="EP24">
        <f t="shared" si="42"/>
        <v>99999999</v>
      </c>
      <c r="EQ24">
        <f t="shared" si="42"/>
        <v>99999999</v>
      </c>
      <c r="ER24">
        <f t="shared" si="42"/>
        <v>99999999</v>
      </c>
      <c r="ES24">
        <f t="shared" si="42"/>
        <v>99999999</v>
      </c>
      <c r="ET24">
        <f t="shared" si="43"/>
        <v>99999999</v>
      </c>
      <c r="EU24">
        <f t="shared" si="43"/>
        <v>99999999</v>
      </c>
      <c r="EV24">
        <f t="shared" si="43"/>
        <v>99999999</v>
      </c>
      <c r="EW24">
        <f t="shared" si="43"/>
        <v>99999999</v>
      </c>
      <c r="EX24">
        <f t="shared" si="43"/>
        <v>99999999</v>
      </c>
      <c r="EY24">
        <f t="shared" si="43"/>
        <v>99999999</v>
      </c>
      <c r="EZ24">
        <f t="shared" si="43"/>
        <v>99999999</v>
      </c>
      <c r="FA24">
        <f t="shared" si="43"/>
        <v>99999999</v>
      </c>
      <c r="FB24">
        <f t="shared" si="43"/>
        <v>99999999</v>
      </c>
      <c r="FC24">
        <f t="shared" si="43"/>
        <v>99999999</v>
      </c>
      <c r="FD24">
        <f t="shared" si="44"/>
        <v>99999999</v>
      </c>
      <c r="FE24">
        <f t="shared" si="44"/>
        <v>99999999</v>
      </c>
      <c r="FF24">
        <f t="shared" si="44"/>
        <v>99999999</v>
      </c>
      <c r="FG24">
        <f t="shared" si="44"/>
        <v>99999999</v>
      </c>
      <c r="FH24">
        <f t="shared" si="44"/>
        <v>99999999</v>
      </c>
      <c r="FI24">
        <f t="shared" si="44"/>
        <v>99999999</v>
      </c>
      <c r="FJ24">
        <f t="shared" si="44"/>
        <v>99999999</v>
      </c>
      <c r="FK24">
        <f t="shared" si="44"/>
        <v>99999999</v>
      </c>
      <c r="FL24">
        <f t="shared" si="44"/>
        <v>99999999</v>
      </c>
      <c r="FM24">
        <f t="shared" si="44"/>
        <v>99999999</v>
      </c>
      <c r="FN24">
        <f t="shared" si="45"/>
        <v>99999999</v>
      </c>
      <c r="FO24">
        <f t="shared" si="45"/>
        <v>99999999</v>
      </c>
      <c r="FP24">
        <f t="shared" si="45"/>
        <v>99999999</v>
      </c>
      <c r="FQ24">
        <f t="shared" si="45"/>
        <v>99999999</v>
      </c>
      <c r="FR24">
        <f t="shared" si="45"/>
        <v>99999999</v>
      </c>
      <c r="FS24">
        <f t="shared" si="45"/>
        <v>99999999</v>
      </c>
      <c r="FT24">
        <f t="shared" si="45"/>
        <v>99999999</v>
      </c>
      <c r="FU24">
        <f t="shared" si="45"/>
        <v>99999999</v>
      </c>
      <c r="FV24">
        <f t="shared" si="45"/>
        <v>99999999</v>
      </c>
      <c r="FW24">
        <f t="shared" si="45"/>
        <v>99999999</v>
      </c>
      <c r="FX24">
        <f t="shared" si="46"/>
        <v>99999999</v>
      </c>
      <c r="FY24">
        <f t="shared" si="46"/>
        <v>99999999</v>
      </c>
      <c r="FZ24">
        <f t="shared" si="46"/>
        <v>99999999</v>
      </c>
      <c r="GA24">
        <f t="shared" si="46"/>
        <v>99999999</v>
      </c>
      <c r="GB24">
        <f t="shared" si="46"/>
        <v>99999999</v>
      </c>
      <c r="GC24">
        <f t="shared" si="46"/>
        <v>99999999</v>
      </c>
      <c r="GD24">
        <f t="shared" si="46"/>
        <v>99999999</v>
      </c>
      <c r="GE24">
        <f t="shared" si="46"/>
        <v>99999999</v>
      </c>
      <c r="GF24">
        <f t="shared" si="46"/>
        <v>99999999</v>
      </c>
      <c r="GG24">
        <f t="shared" si="46"/>
        <v>99999999</v>
      </c>
      <c r="GH24">
        <f t="shared" si="47"/>
        <v>99999999</v>
      </c>
      <c r="GI24">
        <f t="shared" si="47"/>
        <v>99999999</v>
      </c>
      <c r="GJ24">
        <f t="shared" si="47"/>
        <v>99999999</v>
      </c>
      <c r="GK24">
        <f t="shared" si="47"/>
        <v>99999999</v>
      </c>
      <c r="GL24">
        <f t="shared" si="47"/>
        <v>99999999</v>
      </c>
      <c r="GM24">
        <f t="shared" si="47"/>
        <v>99999999</v>
      </c>
      <c r="GN24">
        <f t="shared" si="47"/>
        <v>99999999</v>
      </c>
      <c r="GO24">
        <f t="shared" si="47"/>
        <v>99999999</v>
      </c>
      <c r="GP24">
        <f t="shared" si="47"/>
        <v>99999999</v>
      </c>
      <c r="GQ24">
        <f t="shared" si="47"/>
        <v>99999999</v>
      </c>
      <c r="GR24">
        <f t="shared" si="48"/>
        <v>99999999</v>
      </c>
      <c r="GS24">
        <f t="shared" si="48"/>
        <v>99999999</v>
      </c>
      <c r="GT24">
        <f t="shared" si="48"/>
        <v>99999999</v>
      </c>
      <c r="GU24">
        <f t="shared" si="48"/>
        <v>99999999</v>
      </c>
      <c r="GV24">
        <f t="shared" si="48"/>
        <v>99999999</v>
      </c>
      <c r="GW24">
        <f t="shared" si="48"/>
        <v>99999999</v>
      </c>
      <c r="GX24">
        <f t="shared" si="48"/>
        <v>99999999</v>
      </c>
      <c r="GY24">
        <f t="shared" si="48"/>
        <v>99999999</v>
      </c>
      <c r="GZ24">
        <f t="shared" si="48"/>
        <v>99999999</v>
      </c>
      <c r="HA24">
        <f t="shared" si="48"/>
        <v>99999999</v>
      </c>
      <c r="HB24">
        <f t="shared" si="49"/>
        <v>99999999</v>
      </c>
      <c r="HC24">
        <f t="shared" si="49"/>
        <v>99999999</v>
      </c>
      <c r="HD24">
        <f t="shared" si="49"/>
        <v>99999999</v>
      </c>
      <c r="HE24">
        <f t="shared" si="49"/>
        <v>99999999</v>
      </c>
      <c r="HF24">
        <f t="shared" si="49"/>
        <v>99999999</v>
      </c>
      <c r="HG24">
        <f t="shared" si="49"/>
        <v>99999999</v>
      </c>
      <c r="HH24">
        <f t="shared" si="49"/>
        <v>99999999</v>
      </c>
      <c r="HI24">
        <f t="shared" si="49"/>
        <v>99999999</v>
      </c>
      <c r="HJ24">
        <f t="shared" si="49"/>
        <v>99999999</v>
      </c>
      <c r="HK24">
        <f t="shared" si="49"/>
        <v>99999999</v>
      </c>
      <c r="HL24">
        <f t="shared" si="50"/>
        <v>99999999</v>
      </c>
      <c r="HM24">
        <f t="shared" si="50"/>
        <v>99999999</v>
      </c>
      <c r="HN24">
        <f t="shared" si="50"/>
        <v>99999999</v>
      </c>
      <c r="HO24">
        <f t="shared" si="50"/>
        <v>99999999</v>
      </c>
      <c r="HP24">
        <f t="shared" si="50"/>
        <v>99999999</v>
      </c>
      <c r="HQ24">
        <f t="shared" si="50"/>
        <v>99999999</v>
      </c>
      <c r="HR24">
        <f t="shared" si="50"/>
        <v>99999999</v>
      </c>
      <c r="HS24">
        <f t="shared" si="50"/>
        <v>99999999</v>
      </c>
      <c r="HT24">
        <f t="shared" si="50"/>
        <v>99999999</v>
      </c>
      <c r="HU24">
        <f t="shared" si="50"/>
        <v>99999999</v>
      </c>
      <c r="HV24">
        <f t="shared" si="51"/>
        <v>99999999</v>
      </c>
      <c r="HW24">
        <f t="shared" si="51"/>
        <v>99999999</v>
      </c>
      <c r="HX24">
        <f t="shared" si="51"/>
        <v>99999999</v>
      </c>
      <c r="HY24">
        <f t="shared" si="51"/>
        <v>99999999</v>
      </c>
      <c r="HZ24">
        <f t="shared" si="51"/>
        <v>99999999</v>
      </c>
      <c r="IA24">
        <f t="shared" si="51"/>
        <v>99999999</v>
      </c>
      <c r="IB24">
        <f t="shared" si="51"/>
        <v>99999999</v>
      </c>
      <c r="IC24">
        <f t="shared" si="51"/>
        <v>99999999</v>
      </c>
      <c r="ID24">
        <f t="shared" si="51"/>
        <v>99999999</v>
      </c>
      <c r="IE24">
        <f t="shared" si="51"/>
        <v>99999999</v>
      </c>
      <c r="IF24">
        <f t="shared" si="52"/>
        <v>99999999</v>
      </c>
      <c r="IG24">
        <f t="shared" si="52"/>
        <v>99999999</v>
      </c>
      <c r="IH24">
        <f t="shared" si="52"/>
        <v>99999999</v>
      </c>
      <c r="II24">
        <f t="shared" si="52"/>
        <v>99999999</v>
      </c>
      <c r="IJ24">
        <f t="shared" si="52"/>
        <v>99999999</v>
      </c>
      <c r="IK24">
        <f t="shared" si="52"/>
        <v>99999999</v>
      </c>
      <c r="IL24">
        <f t="shared" si="52"/>
        <v>99999999</v>
      </c>
      <c r="IM24">
        <f t="shared" si="52"/>
        <v>99999999</v>
      </c>
      <c r="IN24">
        <f t="shared" si="52"/>
        <v>99999999</v>
      </c>
      <c r="IO24">
        <f t="shared" si="52"/>
        <v>99999999</v>
      </c>
      <c r="IP24">
        <f t="shared" si="53"/>
        <v>99999999</v>
      </c>
      <c r="IQ24">
        <f t="shared" si="53"/>
        <v>99999999</v>
      </c>
      <c r="IR24">
        <f t="shared" si="53"/>
        <v>99999999</v>
      </c>
      <c r="IS24">
        <f t="shared" si="53"/>
        <v>99999999</v>
      </c>
      <c r="IT24">
        <f t="shared" si="53"/>
        <v>99999999</v>
      </c>
      <c r="IU24">
        <f t="shared" si="53"/>
        <v>99999999</v>
      </c>
      <c r="IV24">
        <f t="shared" si="53"/>
        <v>99999999</v>
      </c>
      <c r="IW24">
        <f t="shared" si="53"/>
        <v>99999999</v>
      </c>
      <c r="IX24">
        <f t="shared" si="53"/>
        <v>99999999</v>
      </c>
      <c r="IY24">
        <f t="shared" si="53"/>
        <v>99999999</v>
      </c>
    </row>
    <row r="25" spans="1:259" x14ac:dyDescent="0.3">
      <c r="A25">
        <f>CAMBIOS!A25</f>
        <v>100</v>
      </c>
      <c r="B25">
        <f>IF(D25=1,CAMBIOS!P25*Valor_1+CAMBIOS!Q25*Valor_2+CAMBIOS!R25*Valor_3,IF(CAMBIOS!P25=1,Valor_1,Valor_2))</f>
        <v>7</v>
      </c>
      <c r="C25">
        <f>IF(D25=1,0,IF(CAMBIOS!R25=1,Valor_3,Valor_2))</f>
        <v>0</v>
      </c>
      <c r="D25">
        <f>CAMBIOS!P25+CAMBIOS!Q25+CAMBIOS!R25</f>
        <v>1</v>
      </c>
      <c r="E25">
        <f t="shared" si="0"/>
        <v>99999999</v>
      </c>
      <c r="F25">
        <f t="shared" si="1"/>
        <v>14</v>
      </c>
      <c r="G25">
        <f t="shared" si="2"/>
        <v>0</v>
      </c>
      <c r="H25">
        <f t="shared" si="3"/>
        <v>2</v>
      </c>
      <c r="J25">
        <f t="shared" ref="J25:S34" si="54">IF(OR($D25&lt;&gt;2,J$4*$B25+$C25&gt;$A25),99999999,(($A25-J$4*$B25)-INT(($A25-J$4*$B25)/$C25)*$C25)*100000+10000-J$4-INT(($A25-J$4*$B25)/$C25))</f>
        <v>99999999</v>
      </c>
      <c r="K25">
        <f t="shared" si="54"/>
        <v>99999999</v>
      </c>
      <c r="L25">
        <f t="shared" si="54"/>
        <v>99999999</v>
      </c>
      <c r="M25">
        <f t="shared" si="54"/>
        <v>99999999</v>
      </c>
      <c r="N25">
        <f t="shared" si="54"/>
        <v>99999999</v>
      </c>
      <c r="O25">
        <f t="shared" si="54"/>
        <v>99999999</v>
      </c>
      <c r="P25">
        <f t="shared" si="54"/>
        <v>99999999</v>
      </c>
      <c r="Q25">
        <f t="shared" si="54"/>
        <v>99999999</v>
      </c>
      <c r="R25">
        <f t="shared" si="54"/>
        <v>99999999</v>
      </c>
      <c r="S25">
        <f t="shared" si="54"/>
        <v>99999999</v>
      </c>
      <c r="T25">
        <f t="shared" ref="T25:AC34" si="55">IF(OR($D25&lt;&gt;2,T$4*$B25+$C25&gt;$A25),99999999,(($A25-T$4*$B25)-INT(($A25-T$4*$B25)/$C25)*$C25)*100000+10000-T$4-INT(($A25-T$4*$B25)/$C25))</f>
        <v>99999999</v>
      </c>
      <c r="U25">
        <f t="shared" si="55"/>
        <v>99999999</v>
      </c>
      <c r="V25">
        <f t="shared" si="55"/>
        <v>99999999</v>
      </c>
      <c r="W25">
        <f t="shared" si="55"/>
        <v>99999999</v>
      </c>
      <c r="X25">
        <f t="shared" si="55"/>
        <v>99999999</v>
      </c>
      <c r="Y25">
        <f t="shared" si="55"/>
        <v>99999999</v>
      </c>
      <c r="Z25">
        <f t="shared" si="55"/>
        <v>99999999</v>
      </c>
      <c r="AA25">
        <f t="shared" si="55"/>
        <v>99999999</v>
      </c>
      <c r="AB25">
        <f t="shared" si="55"/>
        <v>99999999</v>
      </c>
      <c r="AC25">
        <f t="shared" si="55"/>
        <v>99999999</v>
      </c>
      <c r="AD25">
        <f t="shared" ref="AD25:AM34" si="56">IF(OR($D25&lt;&gt;2,AD$4*$B25+$C25&gt;$A25),99999999,(($A25-AD$4*$B25)-INT(($A25-AD$4*$B25)/$C25)*$C25)*100000+10000-AD$4-INT(($A25-AD$4*$B25)/$C25))</f>
        <v>99999999</v>
      </c>
      <c r="AE25">
        <f t="shared" si="56"/>
        <v>99999999</v>
      </c>
      <c r="AF25">
        <f t="shared" si="56"/>
        <v>99999999</v>
      </c>
      <c r="AG25">
        <f t="shared" si="56"/>
        <v>99999999</v>
      </c>
      <c r="AH25">
        <f t="shared" si="56"/>
        <v>99999999</v>
      </c>
      <c r="AI25">
        <f t="shared" si="56"/>
        <v>99999999</v>
      </c>
      <c r="AJ25">
        <f t="shared" si="56"/>
        <v>99999999</v>
      </c>
      <c r="AK25">
        <f t="shared" si="56"/>
        <v>99999999</v>
      </c>
      <c r="AL25">
        <f t="shared" si="56"/>
        <v>99999999</v>
      </c>
      <c r="AM25">
        <f t="shared" si="56"/>
        <v>99999999</v>
      </c>
      <c r="AN25">
        <f t="shared" ref="AN25:AW34" si="57">IF(OR($D25&lt;&gt;2,AN$4*$B25+$C25&gt;$A25),99999999,(($A25-AN$4*$B25)-INT(($A25-AN$4*$B25)/$C25)*$C25)*100000+10000-AN$4-INT(($A25-AN$4*$B25)/$C25))</f>
        <v>99999999</v>
      </c>
      <c r="AO25">
        <f t="shared" si="57"/>
        <v>99999999</v>
      </c>
      <c r="AP25">
        <f t="shared" si="57"/>
        <v>99999999</v>
      </c>
      <c r="AQ25">
        <f t="shared" si="57"/>
        <v>99999999</v>
      </c>
      <c r="AR25">
        <f t="shared" si="57"/>
        <v>99999999</v>
      </c>
      <c r="AS25">
        <f t="shared" si="57"/>
        <v>99999999</v>
      </c>
      <c r="AT25">
        <f t="shared" si="57"/>
        <v>99999999</v>
      </c>
      <c r="AU25">
        <f t="shared" si="57"/>
        <v>99999999</v>
      </c>
      <c r="AV25">
        <f t="shared" si="57"/>
        <v>99999999</v>
      </c>
      <c r="AW25">
        <f t="shared" si="57"/>
        <v>99999999</v>
      </c>
      <c r="AX25">
        <f t="shared" ref="AX25:BG34" si="58">IF(OR($D25&lt;&gt;2,AX$4*$B25+$C25&gt;$A25),99999999,(($A25-AX$4*$B25)-INT(($A25-AX$4*$B25)/$C25)*$C25)*100000+10000-AX$4-INT(($A25-AX$4*$B25)/$C25))</f>
        <v>99999999</v>
      </c>
      <c r="AY25">
        <f t="shared" si="58"/>
        <v>99999999</v>
      </c>
      <c r="AZ25">
        <f t="shared" si="58"/>
        <v>99999999</v>
      </c>
      <c r="BA25">
        <f t="shared" si="58"/>
        <v>99999999</v>
      </c>
      <c r="BB25">
        <f t="shared" si="58"/>
        <v>99999999</v>
      </c>
      <c r="BC25">
        <f t="shared" si="58"/>
        <v>99999999</v>
      </c>
      <c r="BD25">
        <f t="shared" si="58"/>
        <v>99999999</v>
      </c>
      <c r="BE25">
        <f t="shared" si="58"/>
        <v>99999999</v>
      </c>
      <c r="BF25">
        <f t="shared" si="58"/>
        <v>99999999</v>
      </c>
      <c r="BG25">
        <f t="shared" si="58"/>
        <v>99999999</v>
      </c>
      <c r="BH25">
        <f t="shared" ref="BH25:BQ34" si="59">IF(OR($D25&lt;&gt;2,BH$4*$B25+$C25&gt;$A25),99999999,(($A25-BH$4*$B25)-INT(($A25-BH$4*$B25)/$C25)*$C25)*100000+10000-BH$4-INT(($A25-BH$4*$B25)/$C25))</f>
        <v>99999999</v>
      </c>
      <c r="BI25">
        <f t="shared" si="59"/>
        <v>99999999</v>
      </c>
      <c r="BJ25">
        <f t="shared" si="59"/>
        <v>99999999</v>
      </c>
      <c r="BK25">
        <f t="shared" si="59"/>
        <v>99999999</v>
      </c>
      <c r="BL25">
        <f t="shared" si="59"/>
        <v>99999999</v>
      </c>
      <c r="BM25">
        <f t="shared" si="59"/>
        <v>99999999</v>
      </c>
      <c r="BN25">
        <f t="shared" si="59"/>
        <v>99999999</v>
      </c>
      <c r="BO25">
        <f t="shared" si="59"/>
        <v>99999999</v>
      </c>
      <c r="BP25">
        <f t="shared" si="59"/>
        <v>99999999</v>
      </c>
      <c r="BQ25">
        <f t="shared" si="59"/>
        <v>99999999</v>
      </c>
      <c r="BR25">
        <f t="shared" ref="BR25:CA34" si="60">IF(OR($D25&lt;&gt;2,BR$4*$B25+$C25&gt;$A25),99999999,(($A25-BR$4*$B25)-INT(($A25-BR$4*$B25)/$C25)*$C25)*100000+10000-BR$4-INT(($A25-BR$4*$B25)/$C25))</f>
        <v>99999999</v>
      </c>
      <c r="BS25">
        <f t="shared" si="60"/>
        <v>99999999</v>
      </c>
      <c r="BT25">
        <f t="shared" si="60"/>
        <v>99999999</v>
      </c>
      <c r="BU25">
        <f t="shared" si="60"/>
        <v>99999999</v>
      </c>
      <c r="BV25">
        <f t="shared" si="60"/>
        <v>99999999</v>
      </c>
      <c r="BW25">
        <f t="shared" si="60"/>
        <v>99999999</v>
      </c>
      <c r="BX25">
        <f t="shared" si="60"/>
        <v>99999999</v>
      </c>
      <c r="BY25">
        <f t="shared" si="60"/>
        <v>99999999</v>
      </c>
      <c r="BZ25">
        <f t="shared" si="60"/>
        <v>99999999</v>
      </c>
      <c r="CA25">
        <f t="shared" si="60"/>
        <v>99999999</v>
      </c>
      <c r="CB25">
        <f t="shared" ref="CB25:CK34" si="61">IF(OR($D25&lt;&gt;2,CB$4*$B25+$C25&gt;$A25),99999999,(($A25-CB$4*$B25)-INT(($A25-CB$4*$B25)/$C25)*$C25)*100000+10000-CB$4-INT(($A25-CB$4*$B25)/$C25))</f>
        <v>99999999</v>
      </c>
      <c r="CC25">
        <f t="shared" si="61"/>
        <v>99999999</v>
      </c>
      <c r="CD25">
        <f t="shared" si="61"/>
        <v>99999999</v>
      </c>
      <c r="CE25">
        <f t="shared" si="61"/>
        <v>99999999</v>
      </c>
      <c r="CF25">
        <f t="shared" si="61"/>
        <v>99999999</v>
      </c>
      <c r="CG25">
        <f t="shared" si="61"/>
        <v>99999999</v>
      </c>
      <c r="CH25">
        <f t="shared" si="61"/>
        <v>99999999</v>
      </c>
      <c r="CI25">
        <f t="shared" si="61"/>
        <v>99999999</v>
      </c>
      <c r="CJ25">
        <f t="shared" si="61"/>
        <v>99999999</v>
      </c>
      <c r="CK25">
        <f t="shared" si="61"/>
        <v>99999999</v>
      </c>
      <c r="CL25">
        <f t="shared" ref="CL25:CU34" si="62">IF(OR($D25&lt;&gt;2,CL$4*$B25+$C25&gt;$A25),99999999,(($A25-CL$4*$B25)-INT(($A25-CL$4*$B25)/$C25)*$C25)*100000+10000-CL$4-INT(($A25-CL$4*$B25)/$C25))</f>
        <v>99999999</v>
      </c>
      <c r="CM25">
        <f t="shared" si="62"/>
        <v>99999999</v>
      </c>
      <c r="CN25">
        <f t="shared" si="62"/>
        <v>99999999</v>
      </c>
      <c r="CO25">
        <f t="shared" si="62"/>
        <v>99999999</v>
      </c>
      <c r="CP25">
        <f t="shared" si="62"/>
        <v>99999999</v>
      </c>
      <c r="CQ25">
        <f t="shared" si="62"/>
        <v>99999999</v>
      </c>
      <c r="CR25">
        <f t="shared" si="62"/>
        <v>99999999</v>
      </c>
      <c r="CS25">
        <f t="shared" si="62"/>
        <v>99999999</v>
      </c>
      <c r="CT25">
        <f t="shared" si="62"/>
        <v>99999999</v>
      </c>
      <c r="CU25">
        <f t="shared" si="62"/>
        <v>99999999</v>
      </c>
      <c r="CV25">
        <f t="shared" ref="CV25:DE34" si="63">IF(OR($D25&lt;&gt;2,CV$4*$B25+$C25&gt;$A25),99999999,(($A25-CV$4*$B25)-INT(($A25-CV$4*$B25)/$C25)*$C25)*100000+10000-CV$4-INT(($A25-CV$4*$B25)/$C25))</f>
        <v>99999999</v>
      </c>
      <c r="CW25">
        <f t="shared" si="63"/>
        <v>99999999</v>
      </c>
      <c r="CX25">
        <f t="shared" si="63"/>
        <v>99999999</v>
      </c>
      <c r="CY25">
        <f t="shared" si="63"/>
        <v>99999999</v>
      </c>
      <c r="CZ25">
        <f t="shared" si="63"/>
        <v>99999999</v>
      </c>
      <c r="DA25">
        <f t="shared" si="63"/>
        <v>99999999</v>
      </c>
      <c r="DB25">
        <f t="shared" si="63"/>
        <v>99999999</v>
      </c>
      <c r="DC25">
        <f t="shared" si="63"/>
        <v>99999999</v>
      </c>
      <c r="DD25">
        <f t="shared" si="63"/>
        <v>99999999</v>
      </c>
      <c r="DE25">
        <f t="shared" si="63"/>
        <v>99999999</v>
      </c>
      <c r="DF25">
        <f t="shared" ref="DF25:DO34" si="64">IF(OR($D25&lt;&gt;2,DF$4*$B25+$C25&gt;$A25),99999999,(($A25-DF$4*$B25)-INT(($A25-DF$4*$B25)/$C25)*$C25)*100000+10000-DF$4-INT(($A25-DF$4*$B25)/$C25))</f>
        <v>99999999</v>
      </c>
      <c r="DG25">
        <f t="shared" si="64"/>
        <v>99999999</v>
      </c>
      <c r="DH25">
        <f t="shared" si="64"/>
        <v>99999999</v>
      </c>
      <c r="DI25">
        <f t="shared" si="64"/>
        <v>99999999</v>
      </c>
      <c r="DJ25">
        <f t="shared" si="64"/>
        <v>99999999</v>
      </c>
      <c r="DK25">
        <f t="shared" si="64"/>
        <v>99999999</v>
      </c>
      <c r="DL25">
        <f t="shared" si="64"/>
        <v>99999999</v>
      </c>
      <c r="DM25">
        <f t="shared" si="64"/>
        <v>99999999</v>
      </c>
      <c r="DN25">
        <f t="shared" si="64"/>
        <v>99999999</v>
      </c>
      <c r="DO25">
        <f t="shared" si="64"/>
        <v>99999999</v>
      </c>
      <c r="DP25">
        <f t="shared" ref="DP25:DY34" si="65">IF(OR($D25&lt;&gt;2,DP$4*$B25+$C25&gt;$A25),99999999,(($A25-DP$4*$B25)-INT(($A25-DP$4*$B25)/$C25)*$C25)*100000+10000-DP$4-INT(($A25-DP$4*$B25)/$C25))</f>
        <v>99999999</v>
      </c>
      <c r="DQ25">
        <f t="shared" si="65"/>
        <v>99999999</v>
      </c>
      <c r="DR25">
        <f t="shared" si="65"/>
        <v>99999999</v>
      </c>
      <c r="DS25">
        <f t="shared" si="65"/>
        <v>99999999</v>
      </c>
      <c r="DT25">
        <f t="shared" si="65"/>
        <v>99999999</v>
      </c>
      <c r="DU25">
        <f t="shared" si="65"/>
        <v>99999999</v>
      </c>
      <c r="DV25">
        <f t="shared" si="65"/>
        <v>99999999</v>
      </c>
      <c r="DW25">
        <f t="shared" si="65"/>
        <v>99999999</v>
      </c>
      <c r="DX25">
        <f t="shared" si="65"/>
        <v>99999999</v>
      </c>
      <c r="DY25">
        <f t="shared" si="65"/>
        <v>99999999</v>
      </c>
      <c r="DZ25">
        <f t="shared" ref="DZ25:EI34" si="66">IF(OR($D25&lt;&gt;2,DZ$4*$B25+$C25&gt;$A25),99999999,(($A25-DZ$4*$B25)-INT(($A25-DZ$4*$B25)/$C25)*$C25)*100000+10000-DZ$4-INT(($A25-DZ$4*$B25)/$C25))</f>
        <v>99999999</v>
      </c>
      <c r="EA25">
        <f t="shared" si="66"/>
        <v>99999999</v>
      </c>
      <c r="EB25">
        <f t="shared" si="66"/>
        <v>99999999</v>
      </c>
      <c r="EC25">
        <f t="shared" si="66"/>
        <v>99999999</v>
      </c>
      <c r="ED25">
        <f t="shared" si="66"/>
        <v>99999999</v>
      </c>
      <c r="EE25">
        <f t="shared" si="66"/>
        <v>99999999</v>
      </c>
      <c r="EF25">
        <f t="shared" si="66"/>
        <v>99999999</v>
      </c>
      <c r="EG25">
        <f t="shared" si="66"/>
        <v>99999999</v>
      </c>
      <c r="EH25">
        <f t="shared" si="66"/>
        <v>99999999</v>
      </c>
      <c r="EI25">
        <f t="shared" si="66"/>
        <v>99999999</v>
      </c>
      <c r="EJ25">
        <f t="shared" ref="EJ25:ES34" si="67">IF(OR($D25&lt;&gt;2,EJ$4*$B25+$C25&gt;$A25),99999999,(($A25-EJ$4*$B25)-INT(($A25-EJ$4*$B25)/$C25)*$C25)*100000+10000-EJ$4-INT(($A25-EJ$4*$B25)/$C25))</f>
        <v>99999999</v>
      </c>
      <c r="EK25">
        <f t="shared" si="67"/>
        <v>99999999</v>
      </c>
      <c r="EL25">
        <f t="shared" si="67"/>
        <v>99999999</v>
      </c>
      <c r="EM25">
        <f t="shared" si="67"/>
        <v>99999999</v>
      </c>
      <c r="EN25">
        <f t="shared" si="67"/>
        <v>99999999</v>
      </c>
      <c r="EO25">
        <f t="shared" si="67"/>
        <v>99999999</v>
      </c>
      <c r="EP25">
        <f t="shared" si="67"/>
        <v>99999999</v>
      </c>
      <c r="EQ25">
        <f t="shared" si="67"/>
        <v>99999999</v>
      </c>
      <c r="ER25">
        <f t="shared" si="67"/>
        <v>99999999</v>
      </c>
      <c r="ES25">
        <f t="shared" si="67"/>
        <v>99999999</v>
      </c>
      <c r="ET25">
        <f t="shared" ref="ET25:FC34" si="68">IF(OR($D25&lt;&gt;2,ET$4*$B25+$C25&gt;$A25),99999999,(($A25-ET$4*$B25)-INT(($A25-ET$4*$B25)/$C25)*$C25)*100000+10000-ET$4-INT(($A25-ET$4*$B25)/$C25))</f>
        <v>99999999</v>
      </c>
      <c r="EU25">
        <f t="shared" si="68"/>
        <v>99999999</v>
      </c>
      <c r="EV25">
        <f t="shared" si="68"/>
        <v>99999999</v>
      </c>
      <c r="EW25">
        <f t="shared" si="68"/>
        <v>99999999</v>
      </c>
      <c r="EX25">
        <f t="shared" si="68"/>
        <v>99999999</v>
      </c>
      <c r="EY25">
        <f t="shared" si="68"/>
        <v>99999999</v>
      </c>
      <c r="EZ25">
        <f t="shared" si="68"/>
        <v>99999999</v>
      </c>
      <c r="FA25">
        <f t="shared" si="68"/>
        <v>99999999</v>
      </c>
      <c r="FB25">
        <f t="shared" si="68"/>
        <v>99999999</v>
      </c>
      <c r="FC25">
        <f t="shared" si="68"/>
        <v>99999999</v>
      </c>
      <c r="FD25">
        <f t="shared" ref="FD25:FM34" si="69">IF(OR($D25&lt;&gt;2,FD$4*$B25+$C25&gt;$A25),99999999,(($A25-FD$4*$B25)-INT(($A25-FD$4*$B25)/$C25)*$C25)*100000+10000-FD$4-INT(($A25-FD$4*$B25)/$C25))</f>
        <v>99999999</v>
      </c>
      <c r="FE25">
        <f t="shared" si="69"/>
        <v>99999999</v>
      </c>
      <c r="FF25">
        <f t="shared" si="69"/>
        <v>99999999</v>
      </c>
      <c r="FG25">
        <f t="shared" si="69"/>
        <v>99999999</v>
      </c>
      <c r="FH25">
        <f t="shared" si="69"/>
        <v>99999999</v>
      </c>
      <c r="FI25">
        <f t="shared" si="69"/>
        <v>99999999</v>
      </c>
      <c r="FJ25">
        <f t="shared" si="69"/>
        <v>99999999</v>
      </c>
      <c r="FK25">
        <f t="shared" si="69"/>
        <v>99999999</v>
      </c>
      <c r="FL25">
        <f t="shared" si="69"/>
        <v>99999999</v>
      </c>
      <c r="FM25">
        <f t="shared" si="69"/>
        <v>99999999</v>
      </c>
      <c r="FN25">
        <f t="shared" ref="FN25:FW34" si="70">IF(OR($D25&lt;&gt;2,FN$4*$B25+$C25&gt;$A25),99999999,(($A25-FN$4*$B25)-INT(($A25-FN$4*$B25)/$C25)*$C25)*100000+10000-FN$4-INT(($A25-FN$4*$B25)/$C25))</f>
        <v>99999999</v>
      </c>
      <c r="FO25">
        <f t="shared" si="70"/>
        <v>99999999</v>
      </c>
      <c r="FP25">
        <f t="shared" si="70"/>
        <v>99999999</v>
      </c>
      <c r="FQ25">
        <f t="shared" si="70"/>
        <v>99999999</v>
      </c>
      <c r="FR25">
        <f t="shared" si="70"/>
        <v>99999999</v>
      </c>
      <c r="FS25">
        <f t="shared" si="70"/>
        <v>99999999</v>
      </c>
      <c r="FT25">
        <f t="shared" si="70"/>
        <v>99999999</v>
      </c>
      <c r="FU25">
        <f t="shared" si="70"/>
        <v>99999999</v>
      </c>
      <c r="FV25">
        <f t="shared" si="70"/>
        <v>99999999</v>
      </c>
      <c r="FW25">
        <f t="shared" si="70"/>
        <v>99999999</v>
      </c>
      <c r="FX25">
        <f t="shared" ref="FX25:GG34" si="71">IF(OR($D25&lt;&gt;2,FX$4*$B25+$C25&gt;$A25),99999999,(($A25-FX$4*$B25)-INT(($A25-FX$4*$B25)/$C25)*$C25)*100000+10000-FX$4-INT(($A25-FX$4*$B25)/$C25))</f>
        <v>99999999</v>
      </c>
      <c r="FY25">
        <f t="shared" si="71"/>
        <v>99999999</v>
      </c>
      <c r="FZ25">
        <f t="shared" si="71"/>
        <v>99999999</v>
      </c>
      <c r="GA25">
        <f t="shared" si="71"/>
        <v>99999999</v>
      </c>
      <c r="GB25">
        <f t="shared" si="71"/>
        <v>99999999</v>
      </c>
      <c r="GC25">
        <f t="shared" si="71"/>
        <v>99999999</v>
      </c>
      <c r="GD25">
        <f t="shared" si="71"/>
        <v>99999999</v>
      </c>
      <c r="GE25">
        <f t="shared" si="71"/>
        <v>99999999</v>
      </c>
      <c r="GF25">
        <f t="shared" si="71"/>
        <v>99999999</v>
      </c>
      <c r="GG25">
        <f t="shared" si="71"/>
        <v>99999999</v>
      </c>
      <c r="GH25">
        <f t="shared" ref="GH25:GQ34" si="72">IF(OR($D25&lt;&gt;2,GH$4*$B25+$C25&gt;$A25),99999999,(($A25-GH$4*$B25)-INT(($A25-GH$4*$B25)/$C25)*$C25)*100000+10000-GH$4-INT(($A25-GH$4*$B25)/$C25))</f>
        <v>99999999</v>
      </c>
      <c r="GI25">
        <f t="shared" si="72"/>
        <v>99999999</v>
      </c>
      <c r="GJ25">
        <f t="shared" si="72"/>
        <v>99999999</v>
      </c>
      <c r="GK25">
        <f t="shared" si="72"/>
        <v>99999999</v>
      </c>
      <c r="GL25">
        <f t="shared" si="72"/>
        <v>99999999</v>
      </c>
      <c r="GM25">
        <f t="shared" si="72"/>
        <v>99999999</v>
      </c>
      <c r="GN25">
        <f t="shared" si="72"/>
        <v>99999999</v>
      </c>
      <c r="GO25">
        <f t="shared" si="72"/>
        <v>99999999</v>
      </c>
      <c r="GP25">
        <f t="shared" si="72"/>
        <v>99999999</v>
      </c>
      <c r="GQ25">
        <f t="shared" si="72"/>
        <v>99999999</v>
      </c>
      <c r="GR25">
        <f t="shared" ref="GR25:HA34" si="73">IF(OR($D25&lt;&gt;2,GR$4*$B25+$C25&gt;$A25),99999999,(($A25-GR$4*$B25)-INT(($A25-GR$4*$B25)/$C25)*$C25)*100000+10000-GR$4-INT(($A25-GR$4*$B25)/$C25))</f>
        <v>99999999</v>
      </c>
      <c r="GS25">
        <f t="shared" si="73"/>
        <v>99999999</v>
      </c>
      <c r="GT25">
        <f t="shared" si="73"/>
        <v>99999999</v>
      </c>
      <c r="GU25">
        <f t="shared" si="73"/>
        <v>99999999</v>
      </c>
      <c r="GV25">
        <f t="shared" si="73"/>
        <v>99999999</v>
      </c>
      <c r="GW25">
        <f t="shared" si="73"/>
        <v>99999999</v>
      </c>
      <c r="GX25">
        <f t="shared" si="73"/>
        <v>99999999</v>
      </c>
      <c r="GY25">
        <f t="shared" si="73"/>
        <v>99999999</v>
      </c>
      <c r="GZ25">
        <f t="shared" si="73"/>
        <v>99999999</v>
      </c>
      <c r="HA25">
        <f t="shared" si="73"/>
        <v>99999999</v>
      </c>
      <c r="HB25">
        <f t="shared" ref="HB25:HK34" si="74">IF(OR($D25&lt;&gt;2,HB$4*$B25+$C25&gt;$A25),99999999,(($A25-HB$4*$B25)-INT(($A25-HB$4*$B25)/$C25)*$C25)*100000+10000-HB$4-INT(($A25-HB$4*$B25)/$C25))</f>
        <v>99999999</v>
      </c>
      <c r="HC25">
        <f t="shared" si="74"/>
        <v>99999999</v>
      </c>
      <c r="HD25">
        <f t="shared" si="74"/>
        <v>99999999</v>
      </c>
      <c r="HE25">
        <f t="shared" si="74"/>
        <v>99999999</v>
      </c>
      <c r="HF25">
        <f t="shared" si="74"/>
        <v>99999999</v>
      </c>
      <c r="HG25">
        <f t="shared" si="74"/>
        <v>99999999</v>
      </c>
      <c r="HH25">
        <f t="shared" si="74"/>
        <v>99999999</v>
      </c>
      <c r="HI25">
        <f t="shared" si="74"/>
        <v>99999999</v>
      </c>
      <c r="HJ25">
        <f t="shared" si="74"/>
        <v>99999999</v>
      </c>
      <c r="HK25">
        <f t="shared" si="74"/>
        <v>99999999</v>
      </c>
      <c r="HL25">
        <f t="shared" ref="HL25:HU34" si="75">IF(OR($D25&lt;&gt;2,HL$4*$B25+$C25&gt;$A25),99999999,(($A25-HL$4*$B25)-INT(($A25-HL$4*$B25)/$C25)*$C25)*100000+10000-HL$4-INT(($A25-HL$4*$B25)/$C25))</f>
        <v>99999999</v>
      </c>
      <c r="HM25">
        <f t="shared" si="75"/>
        <v>99999999</v>
      </c>
      <c r="HN25">
        <f t="shared" si="75"/>
        <v>99999999</v>
      </c>
      <c r="HO25">
        <f t="shared" si="75"/>
        <v>99999999</v>
      </c>
      <c r="HP25">
        <f t="shared" si="75"/>
        <v>99999999</v>
      </c>
      <c r="HQ25">
        <f t="shared" si="75"/>
        <v>99999999</v>
      </c>
      <c r="HR25">
        <f t="shared" si="75"/>
        <v>99999999</v>
      </c>
      <c r="HS25">
        <f t="shared" si="75"/>
        <v>99999999</v>
      </c>
      <c r="HT25">
        <f t="shared" si="75"/>
        <v>99999999</v>
      </c>
      <c r="HU25">
        <f t="shared" si="75"/>
        <v>99999999</v>
      </c>
      <c r="HV25">
        <f t="shared" ref="HV25:IE34" si="76">IF(OR($D25&lt;&gt;2,HV$4*$B25+$C25&gt;$A25),99999999,(($A25-HV$4*$B25)-INT(($A25-HV$4*$B25)/$C25)*$C25)*100000+10000-HV$4-INT(($A25-HV$4*$B25)/$C25))</f>
        <v>99999999</v>
      </c>
      <c r="HW25">
        <f t="shared" si="76"/>
        <v>99999999</v>
      </c>
      <c r="HX25">
        <f t="shared" si="76"/>
        <v>99999999</v>
      </c>
      <c r="HY25">
        <f t="shared" si="76"/>
        <v>99999999</v>
      </c>
      <c r="HZ25">
        <f t="shared" si="76"/>
        <v>99999999</v>
      </c>
      <c r="IA25">
        <f t="shared" si="76"/>
        <v>99999999</v>
      </c>
      <c r="IB25">
        <f t="shared" si="76"/>
        <v>99999999</v>
      </c>
      <c r="IC25">
        <f t="shared" si="76"/>
        <v>99999999</v>
      </c>
      <c r="ID25">
        <f t="shared" si="76"/>
        <v>99999999</v>
      </c>
      <c r="IE25">
        <f t="shared" si="76"/>
        <v>99999999</v>
      </c>
      <c r="IF25">
        <f t="shared" ref="IF25:IO34" si="77">IF(OR($D25&lt;&gt;2,IF$4*$B25+$C25&gt;$A25),99999999,(($A25-IF$4*$B25)-INT(($A25-IF$4*$B25)/$C25)*$C25)*100000+10000-IF$4-INT(($A25-IF$4*$B25)/$C25))</f>
        <v>99999999</v>
      </c>
      <c r="IG25">
        <f t="shared" si="77"/>
        <v>99999999</v>
      </c>
      <c r="IH25">
        <f t="shared" si="77"/>
        <v>99999999</v>
      </c>
      <c r="II25">
        <f t="shared" si="77"/>
        <v>99999999</v>
      </c>
      <c r="IJ25">
        <f t="shared" si="77"/>
        <v>99999999</v>
      </c>
      <c r="IK25">
        <f t="shared" si="77"/>
        <v>99999999</v>
      </c>
      <c r="IL25">
        <f t="shared" si="77"/>
        <v>99999999</v>
      </c>
      <c r="IM25">
        <f t="shared" si="77"/>
        <v>99999999</v>
      </c>
      <c r="IN25">
        <f t="shared" si="77"/>
        <v>99999999</v>
      </c>
      <c r="IO25">
        <f t="shared" si="77"/>
        <v>99999999</v>
      </c>
      <c r="IP25">
        <f t="shared" ref="IP25:IY34" si="78">IF(OR($D25&lt;&gt;2,IP$4*$B25+$C25&gt;$A25),99999999,(($A25-IP$4*$B25)-INT(($A25-IP$4*$B25)/$C25)*$C25)*100000+10000-IP$4-INT(($A25-IP$4*$B25)/$C25))</f>
        <v>99999999</v>
      </c>
      <c r="IQ25">
        <f t="shared" si="78"/>
        <v>99999999</v>
      </c>
      <c r="IR25">
        <f t="shared" si="78"/>
        <v>99999999</v>
      </c>
      <c r="IS25">
        <f t="shared" si="78"/>
        <v>99999999</v>
      </c>
      <c r="IT25">
        <f t="shared" si="78"/>
        <v>99999999</v>
      </c>
      <c r="IU25">
        <f t="shared" si="78"/>
        <v>99999999</v>
      </c>
      <c r="IV25">
        <f t="shared" si="78"/>
        <v>99999999</v>
      </c>
      <c r="IW25">
        <f t="shared" si="78"/>
        <v>99999999</v>
      </c>
      <c r="IX25">
        <f t="shared" si="78"/>
        <v>99999999</v>
      </c>
      <c r="IY25">
        <f t="shared" si="78"/>
        <v>99999999</v>
      </c>
    </row>
    <row r="26" spans="1:259" x14ac:dyDescent="0.3">
      <c r="A26">
        <f>CAMBIOS!A26</f>
        <v>100</v>
      </c>
      <c r="B26">
        <f>IF(D26=1,CAMBIOS!P26*Valor_1+CAMBIOS!Q26*Valor_2+CAMBIOS!R26*Valor_3,IF(CAMBIOS!P26=1,Valor_1,Valor_2))</f>
        <v>3</v>
      </c>
      <c r="C26">
        <f>IF(D26=1,0,IF(CAMBIOS!R26=1,Valor_3,Valor_2))</f>
        <v>5</v>
      </c>
      <c r="D26">
        <f>CAMBIOS!P26+CAMBIOS!Q26+CAMBIOS!R26</f>
        <v>2</v>
      </c>
      <c r="E26">
        <f t="shared" si="0"/>
        <v>9968</v>
      </c>
      <c r="F26">
        <f t="shared" si="1"/>
        <v>30</v>
      </c>
      <c r="G26">
        <f t="shared" si="2"/>
        <v>2</v>
      </c>
      <c r="H26">
        <f t="shared" si="3"/>
        <v>0</v>
      </c>
      <c r="J26">
        <f t="shared" si="54"/>
        <v>209980</v>
      </c>
      <c r="K26">
        <f t="shared" si="54"/>
        <v>409980</v>
      </c>
      <c r="L26">
        <f t="shared" si="54"/>
        <v>109979</v>
      </c>
      <c r="M26">
        <f t="shared" si="54"/>
        <v>309979</v>
      </c>
      <c r="N26">
        <f t="shared" si="54"/>
        <v>9978</v>
      </c>
      <c r="O26">
        <f t="shared" si="54"/>
        <v>209978</v>
      </c>
      <c r="P26">
        <f t="shared" si="54"/>
        <v>409978</v>
      </c>
      <c r="Q26">
        <f t="shared" si="54"/>
        <v>109977</v>
      </c>
      <c r="R26">
        <f t="shared" si="54"/>
        <v>309977</v>
      </c>
      <c r="S26">
        <f t="shared" si="54"/>
        <v>9976</v>
      </c>
      <c r="T26">
        <f t="shared" si="55"/>
        <v>209976</v>
      </c>
      <c r="U26">
        <f t="shared" si="55"/>
        <v>409976</v>
      </c>
      <c r="V26">
        <f t="shared" si="55"/>
        <v>109975</v>
      </c>
      <c r="W26">
        <f t="shared" si="55"/>
        <v>309975</v>
      </c>
      <c r="X26">
        <f t="shared" si="55"/>
        <v>9974</v>
      </c>
      <c r="Y26">
        <f t="shared" si="55"/>
        <v>209974</v>
      </c>
      <c r="Z26">
        <f t="shared" si="55"/>
        <v>409974</v>
      </c>
      <c r="AA26">
        <f t="shared" si="55"/>
        <v>109973</v>
      </c>
      <c r="AB26">
        <f t="shared" si="55"/>
        <v>309973</v>
      </c>
      <c r="AC26">
        <f t="shared" si="55"/>
        <v>9972</v>
      </c>
      <c r="AD26">
        <f t="shared" si="56"/>
        <v>209972</v>
      </c>
      <c r="AE26">
        <f t="shared" si="56"/>
        <v>409972</v>
      </c>
      <c r="AF26">
        <f t="shared" si="56"/>
        <v>109971</v>
      </c>
      <c r="AG26">
        <f t="shared" si="56"/>
        <v>309971</v>
      </c>
      <c r="AH26">
        <f t="shared" si="56"/>
        <v>9970</v>
      </c>
      <c r="AI26">
        <f t="shared" si="56"/>
        <v>209970</v>
      </c>
      <c r="AJ26">
        <f t="shared" si="56"/>
        <v>409970</v>
      </c>
      <c r="AK26">
        <f t="shared" si="56"/>
        <v>109969</v>
      </c>
      <c r="AL26">
        <f t="shared" si="56"/>
        <v>309969</v>
      </c>
      <c r="AM26">
        <f t="shared" si="56"/>
        <v>9968</v>
      </c>
      <c r="AN26">
        <f t="shared" si="57"/>
        <v>209968</v>
      </c>
      <c r="AO26">
        <f t="shared" si="57"/>
        <v>99999999</v>
      </c>
      <c r="AP26">
        <f t="shared" si="57"/>
        <v>99999999</v>
      </c>
      <c r="AQ26">
        <f t="shared" si="57"/>
        <v>99999999</v>
      </c>
      <c r="AR26">
        <f t="shared" si="57"/>
        <v>99999999</v>
      </c>
      <c r="AS26">
        <f t="shared" si="57"/>
        <v>99999999</v>
      </c>
      <c r="AT26">
        <f t="shared" si="57"/>
        <v>99999999</v>
      </c>
      <c r="AU26">
        <f t="shared" si="57"/>
        <v>99999999</v>
      </c>
      <c r="AV26">
        <f t="shared" si="57"/>
        <v>99999999</v>
      </c>
      <c r="AW26">
        <f t="shared" si="57"/>
        <v>99999999</v>
      </c>
      <c r="AX26">
        <f t="shared" si="58"/>
        <v>99999999</v>
      </c>
      <c r="AY26">
        <f t="shared" si="58"/>
        <v>99999999</v>
      </c>
      <c r="AZ26">
        <f t="shared" si="58"/>
        <v>99999999</v>
      </c>
      <c r="BA26">
        <f t="shared" si="58"/>
        <v>99999999</v>
      </c>
      <c r="BB26">
        <f t="shared" si="58"/>
        <v>99999999</v>
      </c>
      <c r="BC26">
        <f t="shared" si="58"/>
        <v>99999999</v>
      </c>
      <c r="BD26">
        <f t="shared" si="58"/>
        <v>99999999</v>
      </c>
      <c r="BE26">
        <f t="shared" si="58"/>
        <v>99999999</v>
      </c>
      <c r="BF26">
        <f t="shared" si="58"/>
        <v>99999999</v>
      </c>
      <c r="BG26">
        <f t="shared" si="58"/>
        <v>99999999</v>
      </c>
      <c r="BH26">
        <f t="shared" si="59"/>
        <v>99999999</v>
      </c>
      <c r="BI26">
        <f t="shared" si="59"/>
        <v>99999999</v>
      </c>
      <c r="BJ26">
        <f t="shared" si="59"/>
        <v>99999999</v>
      </c>
      <c r="BK26">
        <f t="shared" si="59"/>
        <v>99999999</v>
      </c>
      <c r="BL26">
        <f t="shared" si="59"/>
        <v>99999999</v>
      </c>
      <c r="BM26">
        <f t="shared" si="59"/>
        <v>99999999</v>
      </c>
      <c r="BN26">
        <f t="shared" si="59"/>
        <v>99999999</v>
      </c>
      <c r="BO26">
        <f t="shared" si="59"/>
        <v>99999999</v>
      </c>
      <c r="BP26">
        <f t="shared" si="59"/>
        <v>99999999</v>
      </c>
      <c r="BQ26">
        <f t="shared" si="59"/>
        <v>99999999</v>
      </c>
      <c r="BR26">
        <f t="shared" si="60"/>
        <v>99999999</v>
      </c>
      <c r="BS26">
        <f t="shared" si="60"/>
        <v>99999999</v>
      </c>
      <c r="BT26">
        <f t="shared" si="60"/>
        <v>99999999</v>
      </c>
      <c r="BU26">
        <f t="shared" si="60"/>
        <v>99999999</v>
      </c>
      <c r="BV26">
        <f t="shared" si="60"/>
        <v>99999999</v>
      </c>
      <c r="BW26">
        <f t="shared" si="60"/>
        <v>99999999</v>
      </c>
      <c r="BX26">
        <f t="shared" si="60"/>
        <v>99999999</v>
      </c>
      <c r="BY26">
        <f t="shared" si="60"/>
        <v>99999999</v>
      </c>
      <c r="BZ26">
        <f t="shared" si="60"/>
        <v>99999999</v>
      </c>
      <c r="CA26">
        <f t="shared" si="60"/>
        <v>99999999</v>
      </c>
      <c r="CB26">
        <f t="shared" si="61"/>
        <v>99999999</v>
      </c>
      <c r="CC26">
        <f t="shared" si="61"/>
        <v>99999999</v>
      </c>
      <c r="CD26">
        <f t="shared" si="61"/>
        <v>99999999</v>
      </c>
      <c r="CE26">
        <f t="shared" si="61"/>
        <v>99999999</v>
      </c>
      <c r="CF26">
        <f t="shared" si="61"/>
        <v>99999999</v>
      </c>
      <c r="CG26">
        <f t="shared" si="61"/>
        <v>99999999</v>
      </c>
      <c r="CH26">
        <f t="shared" si="61"/>
        <v>99999999</v>
      </c>
      <c r="CI26">
        <f t="shared" si="61"/>
        <v>99999999</v>
      </c>
      <c r="CJ26">
        <f t="shared" si="61"/>
        <v>99999999</v>
      </c>
      <c r="CK26">
        <f t="shared" si="61"/>
        <v>99999999</v>
      </c>
      <c r="CL26">
        <f t="shared" si="62"/>
        <v>99999999</v>
      </c>
      <c r="CM26">
        <f t="shared" si="62"/>
        <v>99999999</v>
      </c>
      <c r="CN26">
        <f t="shared" si="62"/>
        <v>99999999</v>
      </c>
      <c r="CO26">
        <f t="shared" si="62"/>
        <v>99999999</v>
      </c>
      <c r="CP26">
        <f t="shared" si="62"/>
        <v>99999999</v>
      </c>
      <c r="CQ26">
        <f t="shared" si="62"/>
        <v>99999999</v>
      </c>
      <c r="CR26">
        <f t="shared" si="62"/>
        <v>99999999</v>
      </c>
      <c r="CS26">
        <f t="shared" si="62"/>
        <v>99999999</v>
      </c>
      <c r="CT26">
        <f t="shared" si="62"/>
        <v>99999999</v>
      </c>
      <c r="CU26">
        <f t="shared" si="62"/>
        <v>99999999</v>
      </c>
      <c r="CV26">
        <f t="shared" si="63"/>
        <v>99999999</v>
      </c>
      <c r="CW26">
        <f t="shared" si="63"/>
        <v>99999999</v>
      </c>
      <c r="CX26">
        <f t="shared" si="63"/>
        <v>99999999</v>
      </c>
      <c r="CY26">
        <f t="shared" si="63"/>
        <v>99999999</v>
      </c>
      <c r="CZ26">
        <f t="shared" si="63"/>
        <v>99999999</v>
      </c>
      <c r="DA26">
        <f t="shared" si="63"/>
        <v>99999999</v>
      </c>
      <c r="DB26">
        <f t="shared" si="63"/>
        <v>99999999</v>
      </c>
      <c r="DC26">
        <f t="shared" si="63"/>
        <v>99999999</v>
      </c>
      <c r="DD26">
        <f t="shared" si="63"/>
        <v>99999999</v>
      </c>
      <c r="DE26">
        <f t="shared" si="63"/>
        <v>99999999</v>
      </c>
      <c r="DF26">
        <f t="shared" si="64"/>
        <v>99999999</v>
      </c>
      <c r="DG26">
        <f t="shared" si="64"/>
        <v>99999999</v>
      </c>
      <c r="DH26">
        <f t="shared" si="64"/>
        <v>99999999</v>
      </c>
      <c r="DI26">
        <f t="shared" si="64"/>
        <v>99999999</v>
      </c>
      <c r="DJ26">
        <f t="shared" si="64"/>
        <v>99999999</v>
      </c>
      <c r="DK26">
        <f t="shared" si="64"/>
        <v>99999999</v>
      </c>
      <c r="DL26">
        <f t="shared" si="64"/>
        <v>99999999</v>
      </c>
      <c r="DM26">
        <f t="shared" si="64"/>
        <v>99999999</v>
      </c>
      <c r="DN26">
        <f t="shared" si="64"/>
        <v>99999999</v>
      </c>
      <c r="DO26">
        <f t="shared" si="64"/>
        <v>99999999</v>
      </c>
      <c r="DP26">
        <f t="shared" si="65"/>
        <v>99999999</v>
      </c>
      <c r="DQ26">
        <f t="shared" si="65"/>
        <v>99999999</v>
      </c>
      <c r="DR26">
        <f t="shared" si="65"/>
        <v>99999999</v>
      </c>
      <c r="DS26">
        <f t="shared" si="65"/>
        <v>99999999</v>
      </c>
      <c r="DT26">
        <f t="shared" si="65"/>
        <v>99999999</v>
      </c>
      <c r="DU26">
        <f t="shared" si="65"/>
        <v>99999999</v>
      </c>
      <c r="DV26">
        <f t="shared" si="65"/>
        <v>99999999</v>
      </c>
      <c r="DW26">
        <f t="shared" si="65"/>
        <v>99999999</v>
      </c>
      <c r="DX26">
        <f t="shared" si="65"/>
        <v>99999999</v>
      </c>
      <c r="DY26">
        <f t="shared" si="65"/>
        <v>99999999</v>
      </c>
      <c r="DZ26">
        <f t="shared" si="66"/>
        <v>99999999</v>
      </c>
      <c r="EA26">
        <f t="shared" si="66"/>
        <v>99999999</v>
      </c>
      <c r="EB26">
        <f t="shared" si="66"/>
        <v>99999999</v>
      </c>
      <c r="EC26">
        <f t="shared" si="66"/>
        <v>99999999</v>
      </c>
      <c r="ED26">
        <f t="shared" si="66"/>
        <v>99999999</v>
      </c>
      <c r="EE26">
        <f t="shared" si="66"/>
        <v>99999999</v>
      </c>
      <c r="EF26">
        <f t="shared" si="66"/>
        <v>99999999</v>
      </c>
      <c r="EG26">
        <f t="shared" si="66"/>
        <v>99999999</v>
      </c>
      <c r="EH26">
        <f t="shared" si="66"/>
        <v>99999999</v>
      </c>
      <c r="EI26">
        <f t="shared" si="66"/>
        <v>99999999</v>
      </c>
      <c r="EJ26">
        <f t="shared" si="67"/>
        <v>99999999</v>
      </c>
      <c r="EK26">
        <f t="shared" si="67"/>
        <v>99999999</v>
      </c>
      <c r="EL26">
        <f t="shared" si="67"/>
        <v>99999999</v>
      </c>
      <c r="EM26">
        <f t="shared" si="67"/>
        <v>99999999</v>
      </c>
      <c r="EN26">
        <f t="shared" si="67"/>
        <v>99999999</v>
      </c>
      <c r="EO26">
        <f t="shared" si="67"/>
        <v>99999999</v>
      </c>
      <c r="EP26">
        <f t="shared" si="67"/>
        <v>99999999</v>
      </c>
      <c r="EQ26">
        <f t="shared" si="67"/>
        <v>99999999</v>
      </c>
      <c r="ER26">
        <f t="shared" si="67"/>
        <v>99999999</v>
      </c>
      <c r="ES26">
        <f t="shared" si="67"/>
        <v>99999999</v>
      </c>
      <c r="ET26">
        <f t="shared" si="68"/>
        <v>99999999</v>
      </c>
      <c r="EU26">
        <f t="shared" si="68"/>
        <v>99999999</v>
      </c>
      <c r="EV26">
        <f t="shared" si="68"/>
        <v>99999999</v>
      </c>
      <c r="EW26">
        <f t="shared" si="68"/>
        <v>99999999</v>
      </c>
      <c r="EX26">
        <f t="shared" si="68"/>
        <v>99999999</v>
      </c>
      <c r="EY26">
        <f t="shared" si="68"/>
        <v>99999999</v>
      </c>
      <c r="EZ26">
        <f t="shared" si="68"/>
        <v>99999999</v>
      </c>
      <c r="FA26">
        <f t="shared" si="68"/>
        <v>99999999</v>
      </c>
      <c r="FB26">
        <f t="shared" si="68"/>
        <v>99999999</v>
      </c>
      <c r="FC26">
        <f t="shared" si="68"/>
        <v>99999999</v>
      </c>
      <c r="FD26">
        <f t="shared" si="69"/>
        <v>99999999</v>
      </c>
      <c r="FE26">
        <f t="shared" si="69"/>
        <v>99999999</v>
      </c>
      <c r="FF26">
        <f t="shared" si="69"/>
        <v>99999999</v>
      </c>
      <c r="FG26">
        <f t="shared" si="69"/>
        <v>99999999</v>
      </c>
      <c r="FH26">
        <f t="shared" si="69"/>
        <v>99999999</v>
      </c>
      <c r="FI26">
        <f t="shared" si="69"/>
        <v>99999999</v>
      </c>
      <c r="FJ26">
        <f t="shared" si="69"/>
        <v>99999999</v>
      </c>
      <c r="FK26">
        <f t="shared" si="69"/>
        <v>99999999</v>
      </c>
      <c r="FL26">
        <f t="shared" si="69"/>
        <v>99999999</v>
      </c>
      <c r="FM26">
        <f t="shared" si="69"/>
        <v>99999999</v>
      </c>
      <c r="FN26">
        <f t="shared" si="70"/>
        <v>99999999</v>
      </c>
      <c r="FO26">
        <f t="shared" si="70"/>
        <v>99999999</v>
      </c>
      <c r="FP26">
        <f t="shared" si="70"/>
        <v>99999999</v>
      </c>
      <c r="FQ26">
        <f t="shared" si="70"/>
        <v>99999999</v>
      </c>
      <c r="FR26">
        <f t="shared" si="70"/>
        <v>99999999</v>
      </c>
      <c r="FS26">
        <f t="shared" si="70"/>
        <v>99999999</v>
      </c>
      <c r="FT26">
        <f t="shared" si="70"/>
        <v>99999999</v>
      </c>
      <c r="FU26">
        <f t="shared" si="70"/>
        <v>99999999</v>
      </c>
      <c r="FV26">
        <f t="shared" si="70"/>
        <v>99999999</v>
      </c>
      <c r="FW26">
        <f t="shared" si="70"/>
        <v>99999999</v>
      </c>
      <c r="FX26">
        <f t="shared" si="71"/>
        <v>99999999</v>
      </c>
      <c r="FY26">
        <f t="shared" si="71"/>
        <v>99999999</v>
      </c>
      <c r="FZ26">
        <f t="shared" si="71"/>
        <v>99999999</v>
      </c>
      <c r="GA26">
        <f t="shared" si="71"/>
        <v>99999999</v>
      </c>
      <c r="GB26">
        <f t="shared" si="71"/>
        <v>99999999</v>
      </c>
      <c r="GC26">
        <f t="shared" si="71"/>
        <v>99999999</v>
      </c>
      <c r="GD26">
        <f t="shared" si="71"/>
        <v>99999999</v>
      </c>
      <c r="GE26">
        <f t="shared" si="71"/>
        <v>99999999</v>
      </c>
      <c r="GF26">
        <f t="shared" si="71"/>
        <v>99999999</v>
      </c>
      <c r="GG26">
        <f t="shared" si="71"/>
        <v>99999999</v>
      </c>
      <c r="GH26">
        <f t="shared" si="72"/>
        <v>99999999</v>
      </c>
      <c r="GI26">
        <f t="shared" si="72"/>
        <v>99999999</v>
      </c>
      <c r="GJ26">
        <f t="shared" si="72"/>
        <v>99999999</v>
      </c>
      <c r="GK26">
        <f t="shared" si="72"/>
        <v>99999999</v>
      </c>
      <c r="GL26">
        <f t="shared" si="72"/>
        <v>99999999</v>
      </c>
      <c r="GM26">
        <f t="shared" si="72"/>
        <v>99999999</v>
      </c>
      <c r="GN26">
        <f t="shared" si="72"/>
        <v>99999999</v>
      </c>
      <c r="GO26">
        <f t="shared" si="72"/>
        <v>99999999</v>
      </c>
      <c r="GP26">
        <f t="shared" si="72"/>
        <v>99999999</v>
      </c>
      <c r="GQ26">
        <f t="shared" si="72"/>
        <v>99999999</v>
      </c>
      <c r="GR26">
        <f t="shared" si="73"/>
        <v>99999999</v>
      </c>
      <c r="GS26">
        <f t="shared" si="73"/>
        <v>99999999</v>
      </c>
      <c r="GT26">
        <f t="shared" si="73"/>
        <v>99999999</v>
      </c>
      <c r="GU26">
        <f t="shared" si="73"/>
        <v>99999999</v>
      </c>
      <c r="GV26">
        <f t="shared" si="73"/>
        <v>99999999</v>
      </c>
      <c r="GW26">
        <f t="shared" si="73"/>
        <v>99999999</v>
      </c>
      <c r="GX26">
        <f t="shared" si="73"/>
        <v>99999999</v>
      </c>
      <c r="GY26">
        <f t="shared" si="73"/>
        <v>99999999</v>
      </c>
      <c r="GZ26">
        <f t="shared" si="73"/>
        <v>99999999</v>
      </c>
      <c r="HA26">
        <f t="shared" si="73"/>
        <v>99999999</v>
      </c>
      <c r="HB26">
        <f t="shared" si="74"/>
        <v>99999999</v>
      </c>
      <c r="HC26">
        <f t="shared" si="74"/>
        <v>99999999</v>
      </c>
      <c r="HD26">
        <f t="shared" si="74"/>
        <v>99999999</v>
      </c>
      <c r="HE26">
        <f t="shared" si="74"/>
        <v>99999999</v>
      </c>
      <c r="HF26">
        <f t="shared" si="74"/>
        <v>99999999</v>
      </c>
      <c r="HG26">
        <f t="shared" si="74"/>
        <v>99999999</v>
      </c>
      <c r="HH26">
        <f t="shared" si="74"/>
        <v>99999999</v>
      </c>
      <c r="HI26">
        <f t="shared" si="74"/>
        <v>99999999</v>
      </c>
      <c r="HJ26">
        <f t="shared" si="74"/>
        <v>99999999</v>
      </c>
      <c r="HK26">
        <f t="shared" si="74"/>
        <v>99999999</v>
      </c>
      <c r="HL26">
        <f t="shared" si="75"/>
        <v>99999999</v>
      </c>
      <c r="HM26">
        <f t="shared" si="75"/>
        <v>99999999</v>
      </c>
      <c r="HN26">
        <f t="shared" si="75"/>
        <v>99999999</v>
      </c>
      <c r="HO26">
        <f t="shared" si="75"/>
        <v>99999999</v>
      </c>
      <c r="HP26">
        <f t="shared" si="75"/>
        <v>99999999</v>
      </c>
      <c r="HQ26">
        <f t="shared" si="75"/>
        <v>99999999</v>
      </c>
      <c r="HR26">
        <f t="shared" si="75"/>
        <v>99999999</v>
      </c>
      <c r="HS26">
        <f t="shared" si="75"/>
        <v>99999999</v>
      </c>
      <c r="HT26">
        <f t="shared" si="75"/>
        <v>99999999</v>
      </c>
      <c r="HU26">
        <f t="shared" si="75"/>
        <v>99999999</v>
      </c>
      <c r="HV26">
        <f t="shared" si="76"/>
        <v>99999999</v>
      </c>
      <c r="HW26">
        <f t="shared" si="76"/>
        <v>99999999</v>
      </c>
      <c r="HX26">
        <f t="shared" si="76"/>
        <v>99999999</v>
      </c>
      <c r="HY26">
        <f t="shared" si="76"/>
        <v>99999999</v>
      </c>
      <c r="HZ26">
        <f t="shared" si="76"/>
        <v>99999999</v>
      </c>
      <c r="IA26">
        <f t="shared" si="76"/>
        <v>99999999</v>
      </c>
      <c r="IB26">
        <f t="shared" si="76"/>
        <v>99999999</v>
      </c>
      <c r="IC26">
        <f t="shared" si="76"/>
        <v>99999999</v>
      </c>
      <c r="ID26">
        <f t="shared" si="76"/>
        <v>99999999</v>
      </c>
      <c r="IE26">
        <f t="shared" si="76"/>
        <v>99999999</v>
      </c>
      <c r="IF26">
        <f t="shared" si="77"/>
        <v>99999999</v>
      </c>
      <c r="IG26">
        <f t="shared" si="77"/>
        <v>99999999</v>
      </c>
      <c r="IH26">
        <f t="shared" si="77"/>
        <v>99999999</v>
      </c>
      <c r="II26">
        <f t="shared" si="77"/>
        <v>99999999</v>
      </c>
      <c r="IJ26">
        <f t="shared" si="77"/>
        <v>99999999</v>
      </c>
      <c r="IK26">
        <f t="shared" si="77"/>
        <v>99999999</v>
      </c>
      <c r="IL26">
        <f t="shared" si="77"/>
        <v>99999999</v>
      </c>
      <c r="IM26">
        <f t="shared" si="77"/>
        <v>99999999</v>
      </c>
      <c r="IN26">
        <f t="shared" si="77"/>
        <v>99999999</v>
      </c>
      <c r="IO26">
        <f t="shared" si="77"/>
        <v>99999999</v>
      </c>
      <c r="IP26">
        <f t="shared" si="78"/>
        <v>99999999</v>
      </c>
      <c r="IQ26">
        <f t="shared" si="78"/>
        <v>99999999</v>
      </c>
      <c r="IR26">
        <f t="shared" si="78"/>
        <v>99999999</v>
      </c>
      <c r="IS26">
        <f t="shared" si="78"/>
        <v>99999999</v>
      </c>
      <c r="IT26">
        <f t="shared" si="78"/>
        <v>99999999</v>
      </c>
      <c r="IU26">
        <f t="shared" si="78"/>
        <v>99999999</v>
      </c>
      <c r="IV26">
        <f t="shared" si="78"/>
        <v>99999999</v>
      </c>
      <c r="IW26">
        <f t="shared" si="78"/>
        <v>99999999</v>
      </c>
      <c r="IX26">
        <f t="shared" si="78"/>
        <v>99999999</v>
      </c>
      <c r="IY26">
        <f t="shared" si="78"/>
        <v>99999999</v>
      </c>
    </row>
    <row r="27" spans="1:259" x14ac:dyDescent="0.3">
      <c r="A27">
        <f>CAMBIOS!A27</f>
        <v>100</v>
      </c>
      <c r="B27">
        <f>IF(D27=1,CAMBIOS!P27*Valor_1+CAMBIOS!Q27*Valor_2+CAMBIOS!R27*Valor_3,IF(CAMBIOS!P27=1,Valor_1,Valor_2))</f>
        <v>3</v>
      </c>
      <c r="C27">
        <f>IF(D27=1,0,IF(CAMBIOS!R27=1,Valor_3,Valor_2))</f>
        <v>7</v>
      </c>
      <c r="D27">
        <f>CAMBIOS!P27+CAMBIOS!Q27+CAMBIOS!R27</f>
        <v>2</v>
      </c>
      <c r="E27">
        <f t="shared" si="0"/>
        <v>9968</v>
      </c>
      <c r="F27">
        <f t="shared" si="1"/>
        <v>31</v>
      </c>
      <c r="G27">
        <f t="shared" si="2"/>
        <v>1</v>
      </c>
      <c r="H27">
        <f t="shared" si="3"/>
        <v>0</v>
      </c>
      <c r="J27">
        <f t="shared" si="54"/>
        <v>609986</v>
      </c>
      <c r="K27">
        <f t="shared" si="54"/>
        <v>309985</v>
      </c>
      <c r="L27">
        <f t="shared" si="54"/>
        <v>9984</v>
      </c>
      <c r="M27">
        <f t="shared" si="54"/>
        <v>409984</v>
      </c>
      <c r="N27">
        <f t="shared" si="54"/>
        <v>109983</v>
      </c>
      <c r="O27">
        <f t="shared" si="54"/>
        <v>509983</v>
      </c>
      <c r="P27">
        <f t="shared" si="54"/>
        <v>209982</v>
      </c>
      <c r="Q27">
        <f t="shared" si="54"/>
        <v>609982</v>
      </c>
      <c r="R27">
        <f t="shared" si="54"/>
        <v>309981</v>
      </c>
      <c r="S27">
        <f t="shared" si="54"/>
        <v>9980</v>
      </c>
      <c r="T27">
        <f t="shared" si="55"/>
        <v>409980</v>
      </c>
      <c r="U27">
        <f t="shared" si="55"/>
        <v>109979</v>
      </c>
      <c r="V27">
        <f t="shared" si="55"/>
        <v>509979</v>
      </c>
      <c r="W27">
        <f t="shared" si="55"/>
        <v>209978</v>
      </c>
      <c r="X27">
        <f t="shared" si="55"/>
        <v>609978</v>
      </c>
      <c r="Y27">
        <f t="shared" si="55"/>
        <v>309977</v>
      </c>
      <c r="Z27">
        <f t="shared" si="55"/>
        <v>9976</v>
      </c>
      <c r="AA27">
        <f t="shared" si="55"/>
        <v>409976</v>
      </c>
      <c r="AB27">
        <f t="shared" si="55"/>
        <v>109975</v>
      </c>
      <c r="AC27">
        <f t="shared" si="55"/>
        <v>509975</v>
      </c>
      <c r="AD27">
        <f t="shared" si="56"/>
        <v>209974</v>
      </c>
      <c r="AE27">
        <f t="shared" si="56"/>
        <v>609974</v>
      </c>
      <c r="AF27">
        <f t="shared" si="56"/>
        <v>309973</v>
      </c>
      <c r="AG27">
        <f t="shared" si="56"/>
        <v>9972</v>
      </c>
      <c r="AH27">
        <f t="shared" si="56"/>
        <v>409972</v>
      </c>
      <c r="AI27">
        <f t="shared" si="56"/>
        <v>109971</v>
      </c>
      <c r="AJ27">
        <f t="shared" si="56"/>
        <v>509971</v>
      </c>
      <c r="AK27">
        <f t="shared" si="56"/>
        <v>209970</v>
      </c>
      <c r="AL27">
        <f t="shared" si="56"/>
        <v>609970</v>
      </c>
      <c r="AM27">
        <f t="shared" si="56"/>
        <v>309969</v>
      </c>
      <c r="AN27">
        <f t="shared" si="57"/>
        <v>9968</v>
      </c>
      <c r="AO27">
        <f t="shared" si="57"/>
        <v>99999999</v>
      </c>
      <c r="AP27">
        <f t="shared" si="57"/>
        <v>99999999</v>
      </c>
      <c r="AQ27">
        <f t="shared" si="57"/>
        <v>99999999</v>
      </c>
      <c r="AR27">
        <f t="shared" si="57"/>
        <v>99999999</v>
      </c>
      <c r="AS27">
        <f t="shared" si="57"/>
        <v>99999999</v>
      </c>
      <c r="AT27">
        <f t="shared" si="57"/>
        <v>99999999</v>
      </c>
      <c r="AU27">
        <f t="shared" si="57"/>
        <v>99999999</v>
      </c>
      <c r="AV27">
        <f t="shared" si="57"/>
        <v>99999999</v>
      </c>
      <c r="AW27">
        <f t="shared" si="57"/>
        <v>99999999</v>
      </c>
      <c r="AX27">
        <f t="shared" si="58"/>
        <v>99999999</v>
      </c>
      <c r="AY27">
        <f t="shared" si="58"/>
        <v>99999999</v>
      </c>
      <c r="AZ27">
        <f t="shared" si="58"/>
        <v>99999999</v>
      </c>
      <c r="BA27">
        <f t="shared" si="58"/>
        <v>99999999</v>
      </c>
      <c r="BB27">
        <f t="shared" si="58"/>
        <v>99999999</v>
      </c>
      <c r="BC27">
        <f t="shared" si="58"/>
        <v>99999999</v>
      </c>
      <c r="BD27">
        <f t="shared" si="58"/>
        <v>99999999</v>
      </c>
      <c r="BE27">
        <f t="shared" si="58"/>
        <v>99999999</v>
      </c>
      <c r="BF27">
        <f t="shared" si="58"/>
        <v>99999999</v>
      </c>
      <c r="BG27">
        <f t="shared" si="58"/>
        <v>99999999</v>
      </c>
      <c r="BH27">
        <f t="shared" si="59"/>
        <v>99999999</v>
      </c>
      <c r="BI27">
        <f t="shared" si="59"/>
        <v>99999999</v>
      </c>
      <c r="BJ27">
        <f t="shared" si="59"/>
        <v>99999999</v>
      </c>
      <c r="BK27">
        <f t="shared" si="59"/>
        <v>99999999</v>
      </c>
      <c r="BL27">
        <f t="shared" si="59"/>
        <v>99999999</v>
      </c>
      <c r="BM27">
        <f t="shared" si="59"/>
        <v>99999999</v>
      </c>
      <c r="BN27">
        <f t="shared" si="59"/>
        <v>99999999</v>
      </c>
      <c r="BO27">
        <f t="shared" si="59"/>
        <v>99999999</v>
      </c>
      <c r="BP27">
        <f t="shared" si="59"/>
        <v>99999999</v>
      </c>
      <c r="BQ27">
        <f t="shared" si="59"/>
        <v>99999999</v>
      </c>
      <c r="BR27">
        <f t="shared" si="60"/>
        <v>99999999</v>
      </c>
      <c r="BS27">
        <f t="shared" si="60"/>
        <v>99999999</v>
      </c>
      <c r="BT27">
        <f t="shared" si="60"/>
        <v>99999999</v>
      </c>
      <c r="BU27">
        <f t="shared" si="60"/>
        <v>99999999</v>
      </c>
      <c r="BV27">
        <f t="shared" si="60"/>
        <v>99999999</v>
      </c>
      <c r="BW27">
        <f t="shared" si="60"/>
        <v>99999999</v>
      </c>
      <c r="BX27">
        <f t="shared" si="60"/>
        <v>99999999</v>
      </c>
      <c r="BY27">
        <f t="shared" si="60"/>
        <v>99999999</v>
      </c>
      <c r="BZ27">
        <f t="shared" si="60"/>
        <v>99999999</v>
      </c>
      <c r="CA27">
        <f t="shared" si="60"/>
        <v>99999999</v>
      </c>
      <c r="CB27">
        <f t="shared" si="61"/>
        <v>99999999</v>
      </c>
      <c r="CC27">
        <f t="shared" si="61"/>
        <v>99999999</v>
      </c>
      <c r="CD27">
        <f t="shared" si="61"/>
        <v>99999999</v>
      </c>
      <c r="CE27">
        <f t="shared" si="61"/>
        <v>99999999</v>
      </c>
      <c r="CF27">
        <f t="shared" si="61"/>
        <v>99999999</v>
      </c>
      <c r="CG27">
        <f t="shared" si="61"/>
        <v>99999999</v>
      </c>
      <c r="CH27">
        <f t="shared" si="61"/>
        <v>99999999</v>
      </c>
      <c r="CI27">
        <f t="shared" si="61"/>
        <v>99999999</v>
      </c>
      <c r="CJ27">
        <f t="shared" si="61"/>
        <v>99999999</v>
      </c>
      <c r="CK27">
        <f t="shared" si="61"/>
        <v>99999999</v>
      </c>
      <c r="CL27">
        <f t="shared" si="62"/>
        <v>99999999</v>
      </c>
      <c r="CM27">
        <f t="shared" si="62"/>
        <v>99999999</v>
      </c>
      <c r="CN27">
        <f t="shared" si="62"/>
        <v>99999999</v>
      </c>
      <c r="CO27">
        <f t="shared" si="62"/>
        <v>99999999</v>
      </c>
      <c r="CP27">
        <f t="shared" si="62"/>
        <v>99999999</v>
      </c>
      <c r="CQ27">
        <f t="shared" si="62"/>
        <v>99999999</v>
      </c>
      <c r="CR27">
        <f t="shared" si="62"/>
        <v>99999999</v>
      </c>
      <c r="CS27">
        <f t="shared" si="62"/>
        <v>99999999</v>
      </c>
      <c r="CT27">
        <f t="shared" si="62"/>
        <v>99999999</v>
      </c>
      <c r="CU27">
        <f t="shared" si="62"/>
        <v>99999999</v>
      </c>
      <c r="CV27">
        <f t="shared" si="63"/>
        <v>99999999</v>
      </c>
      <c r="CW27">
        <f t="shared" si="63"/>
        <v>99999999</v>
      </c>
      <c r="CX27">
        <f t="shared" si="63"/>
        <v>99999999</v>
      </c>
      <c r="CY27">
        <f t="shared" si="63"/>
        <v>99999999</v>
      </c>
      <c r="CZ27">
        <f t="shared" si="63"/>
        <v>99999999</v>
      </c>
      <c r="DA27">
        <f t="shared" si="63"/>
        <v>99999999</v>
      </c>
      <c r="DB27">
        <f t="shared" si="63"/>
        <v>99999999</v>
      </c>
      <c r="DC27">
        <f t="shared" si="63"/>
        <v>99999999</v>
      </c>
      <c r="DD27">
        <f t="shared" si="63"/>
        <v>99999999</v>
      </c>
      <c r="DE27">
        <f t="shared" si="63"/>
        <v>99999999</v>
      </c>
      <c r="DF27">
        <f t="shared" si="64"/>
        <v>99999999</v>
      </c>
      <c r="DG27">
        <f t="shared" si="64"/>
        <v>99999999</v>
      </c>
      <c r="DH27">
        <f t="shared" si="64"/>
        <v>99999999</v>
      </c>
      <c r="DI27">
        <f t="shared" si="64"/>
        <v>99999999</v>
      </c>
      <c r="DJ27">
        <f t="shared" si="64"/>
        <v>99999999</v>
      </c>
      <c r="DK27">
        <f t="shared" si="64"/>
        <v>99999999</v>
      </c>
      <c r="DL27">
        <f t="shared" si="64"/>
        <v>99999999</v>
      </c>
      <c r="DM27">
        <f t="shared" si="64"/>
        <v>99999999</v>
      </c>
      <c r="DN27">
        <f t="shared" si="64"/>
        <v>99999999</v>
      </c>
      <c r="DO27">
        <f t="shared" si="64"/>
        <v>99999999</v>
      </c>
      <c r="DP27">
        <f t="shared" si="65"/>
        <v>99999999</v>
      </c>
      <c r="DQ27">
        <f t="shared" si="65"/>
        <v>99999999</v>
      </c>
      <c r="DR27">
        <f t="shared" si="65"/>
        <v>99999999</v>
      </c>
      <c r="DS27">
        <f t="shared" si="65"/>
        <v>99999999</v>
      </c>
      <c r="DT27">
        <f t="shared" si="65"/>
        <v>99999999</v>
      </c>
      <c r="DU27">
        <f t="shared" si="65"/>
        <v>99999999</v>
      </c>
      <c r="DV27">
        <f t="shared" si="65"/>
        <v>99999999</v>
      </c>
      <c r="DW27">
        <f t="shared" si="65"/>
        <v>99999999</v>
      </c>
      <c r="DX27">
        <f t="shared" si="65"/>
        <v>99999999</v>
      </c>
      <c r="DY27">
        <f t="shared" si="65"/>
        <v>99999999</v>
      </c>
      <c r="DZ27">
        <f t="shared" si="66"/>
        <v>99999999</v>
      </c>
      <c r="EA27">
        <f t="shared" si="66"/>
        <v>99999999</v>
      </c>
      <c r="EB27">
        <f t="shared" si="66"/>
        <v>99999999</v>
      </c>
      <c r="EC27">
        <f t="shared" si="66"/>
        <v>99999999</v>
      </c>
      <c r="ED27">
        <f t="shared" si="66"/>
        <v>99999999</v>
      </c>
      <c r="EE27">
        <f t="shared" si="66"/>
        <v>99999999</v>
      </c>
      <c r="EF27">
        <f t="shared" si="66"/>
        <v>99999999</v>
      </c>
      <c r="EG27">
        <f t="shared" si="66"/>
        <v>99999999</v>
      </c>
      <c r="EH27">
        <f t="shared" si="66"/>
        <v>99999999</v>
      </c>
      <c r="EI27">
        <f t="shared" si="66"/>
        <v>99999999</v>
      </c>
      <c r="EJ27">
        <f t="shared" si="67"/>
        <v>99999999</v>
      </c>
      <c r="EK27">
        <f t="shared" si="67"/>
        <v>99999999</v>
      </c>
      <c r="EL27">
        <f t="shared" si="67"/>
        <v>99999999</v>
      </c>
      <c r="EM27">
        <f t="shared" si="67"/>
        <v>99999999</v>
      </c>
      <c r="EN27">
        <f t="shared" si="67"/>
        <v>99999999</v>
      </c>
      <c r="EO27">
        <f t="shared" si="67"/>
        <v>99999999</v>
      </c>
      <c r="EP27">
        <f t="shared" si="67"/>
        <v>99999999</v>
      </c>
      <c r="EQ27">
        <f t="shared" si="67"/>
        <v>99999999</v>
      </c>
      <c r="ER27">
        <f t="shared" si="67"/>
        <v>99999999</v>
      </c>
      <c r="ES27">
        <f t="shared" si="67"/>
        <v>99999999</v>
      </c>
      <c r="ET27">
        <f t="shared" si="68"/>
        <v>99999999</v>
      </c>
      <c r="EU27">
        <f t="shared" si="68"/>
        <v>99999999</v>
      </c>
      <c r="EV27">
        <f t="shared" si="68"/>
        <v>99999999</v>
      </c>
      <c r="EW27">
        <f t="shared" si="68"/>
        <v>99999999</v>
      </c>
      <c r="EX27">
        <f t="shared" si="68"/>
        <v>99999999</v>
      </c>
      <c r="EY27">
        <f t="shared" si="68"/>
        <v>99999999</v>
      </c>
      <c r="EZ27">
        <f t="shared" si="68"/>
        <v>99999999</v>
      </c>
      <c r="FA27">
        <f t="shared" si="68"/>
        <v>99999999</v>
      </c>
      <c r="FB27">
        <f t="shared" si="68"/>
        <v>99999999</v>
      </c>
      <c r="FC27">
        <f t="shared" si="68"/>
        <v>99999999</v>
      </c>
      <c r="FD27">
        <f t="shared" si="69"/>
        <v>99999999</v>
      </c>
      <c r="FE27">
        <f t="shared" si="69"/>
        <v>99999999</v>
      </c>
      <c r="FF27">
        <f t="shared" si="69"/>
        <v>99999999</v>
      </c>
      <c r="FG27">
        <f t="shared" si="69"/>
        <v>99999999</v>
      </c>
      <c r="FH27">
        <f t="shared" si="69"/>
        <v>99999999</v>
      </c>
      <c r="FI27">
        <f t="shared" si="69"/>
        <v>99999999</v>
      </c>
      <c r="FJ27">
        <f t="shared" si="69"/>
        <v>99999999</v>
      </c>
      <c r="FK27">
        <f t="shared" si="69"/>
        <v>99999999</v>
      </c>
      <c r="FL27">
        <f t="shared" si="69"/>
        <v>99999999</v>
      </c>
      <c r="FM27">
        <f t="shared" si="69"/>
        <v>99999999</v>
      </c>
      <c r="FN27">
        <f t="shared" si="70"/>
        <v>99999999</v>
      </c>
      <c r="FO27">
        <f t="shared" si="70"/>
        <v>99999999</v>
      </c>
      <c r="FP27">
        <f t="shared" si="70"/>
        <v>99999999</v>
      </c>
      <c r="FQ27">
        <f t="shared" si="70"/>
        <v>99999999</v>
      </c>
      <c r="FR27">
        <f t="shared" si="70"/>
        <v>99999999</v>
      </c>
      <c r="FS27">
        <f t="shared" si="70"/>
        <v>99999999</v>
      </c>
      <c r="FT27">
        <f t="shared" si="70"/>
        <v>99999999</v>
      </c>
      <c r="FU27">
        <f t="shared" si="70"/>
        <v>99999999</v>
      </c>
      <c r="FV27">
        <f t="shared" si="70"/>
        <v>99999999</v>
      </c>
      <c r="FW27">
        <f t="shared" si="70"/>
        <v>99999999</v>
      </c>
      <c r="FX27">
        <f t="shared" si="71"/>
        <v>99999999</v>
      </c>
      <c r="FY27">
        <f t="shared" si="71"/>
        <v>99999999</v>
      </c>
      <c r="FZ27">
        <f t="shared" si="71"/>
        <v>99999999</v>
      </c>
      <c r="GA27">
        <f t="shared" si="71"/>
        <v>99999999</v>
      </c>
      <c r="GB27">
        <f t="shared" si="71"/>
        <v>99999999</v>
      </c>
      <c r="GC27">
        <f t="shared" si="71"/>
        <v>99999999</v>
      </c>
      <c r="GD27">
        <f t="shared" si="71"/>
        <v>99999999</v>
      </c>
      <c r="GE27">
        <f t="shared" si="71"/>
        <v>99999999</v>
      </c>
      <c r="GF27">
        <f t="shared" si="71"/>
        <v>99999999</v>
      </c>
      <c r="GG27">
        <f t="shared" si="71"/>
        <v>99999999</v>
      </c>
      <c r="GH27">
        <f t="shared" si="72"/>
        <v>99999999</v>
      </c>
      <c r="GI27">
        <f t="shared" si="72"/>
        <v>99999999</v>
      </c>
      <c r="GJ27">
        <f t="shared" si="72"/>
        <v>99999999</v>
      </c>
      <c r="GK27">
        <f t="shared" si="72"/>
        <v>99999999</v>
      </c>
      <c r="GL27">
        <f t="shared" si="72"/>
        <v>99999999</v>
      </c>
      <c r="GM27">
        <f t="shared" si="72"/>
        <v>99999999</v>
      </c>
      <c r="GN27">
        <f t="shared" si="72"/>
        <v>99999999</v>
      </c>
      <c r="GO27">
        <f t="shared" si="72"/>
        <v>99999999</v>
      </c>
      <c r="GP27">
        <f t="shared" si="72"/>
        <v>99999999</v>
      </c>
      <c r="GQ27">
        <f t="shared" si="72"/>
        <v>99999999</v>
      </c>
      <c r="GR27">
        <f t="shared" si="73"/>
        <v>99999999</v>
      </c>
      <c r="GS27">
        <f t="shared" si="73"/>
        <v>99999999</v>
      </c>
      <c r="GT27">
        <f t="shared" si="73"/>
        <v>99999999</v>
      </c>
      <c r="GU27">
        <f t="shared" si="73"/>
        <v>99999999</v>
      </c>
      <c r="GV27">
        <f t="shared" si="73"/>
        <v>99999999</v>
      </c>
      <c r="GW27">
        <f t="shared" si="73"/>
        <v>99999999</v>
      </c>
      <c r="GX27">
        <f t="shared" si="73"/>
        <v>99999999</v>
      </c>
      <c r="GY27">
        <f t="shared" si="73"/>
        <v>99999999</v>
      </c>
      <c r="GZ27">
        <f t="shared" si="73"/>
        <v>99999999</v>
      </c>
      <c r="HA27">
        <f t="shared" si="73"/>
        <v>99999999</v>
      </c>
      <c r="HB27">
        <f t="shared" si="74"/>
        <v>99999999</v>
      </c>
      <c r="HC27">
        <f t="shared" si="74"/>
        <v>99999999</v>
      </c>
      <c r="HD27">
        <f t="shared" si="74"/>
        <v>99999999</v>
      </c>
      <c r="HE27">
        <f t="shared" si="74"/>
        <v>99999999</v>
      </c>
      <c r="HF27">
        <f t="shared" si="74"/>
        <v>99999999</v>
      </c>
      <c r="HG27">
        <f t="shared" si="74"/>
        <v>99999999</v>
      </c>
      <c r="HH27">
        <f t="shared" si="74"/>
        <v>99999999</v>
      </c>
      <c r="HI27">
        <f t="shared" si="74"/>
        <v>99999999</v>
      </c>
      <c r="HJ27">
        <f t="shared" si="74"/>
        <v>99999999</v>
      </c>
      <c r="HK27">
        <f t="shared" si="74"/>
        <v>99999999</v>
      </c>
      <c r="HL27">
        <f t="shared" si="75"/>
        <v>99999999</v>
      </c>
      <c r="HM27">
        <f t="shared" si="75"/>
        <v>99999999</v>
      </c>
      <c r="HN27">
        <f t="shared" si="75"/>
        <v>99999999</v>
      </c>
      <c r="HO27">
        <f t="shared" si="75"/>
        <v>99999999</v>
      </c>
      <c r="HP27">
        <f t="shared" si="75"/>
        <v>99999999</v>
      </c>
      <c r="HQ27">
        <f t="shared" si="75"/>
        <v>99999999</v>
      </c>
      <c r="HR27">
        <f t="shared" si="75"/>
        <v>99999999</v>
      </c>
      <c r="HS27">
        <f t="shared" si="75"/>
        <v>99999999</v>
      </c>
      <c r="HT27">
        <f t="shared" si="75"/>
        <v>99999999</v>
      </c>
      <c r="HU27">
        <f t="shared" si="75"/>
        <v>99999999</v>
      </c>
      <c r="HV27">
        <f t="shared" si="76"/>
        <v>99999999</v>
      </c>
      <c r="HW27">
        <f t="shared" si="76"/>
        <v>99999999</v>
      </c>
      <c r="HX27">
        <f t="shared" si="76"/>
        <v>99999999</v>
      </c>
      <c r="HY27">
        <f t="shared" si="76"/>
        <v>99999999</v>
      </c>
      <c r="HZ27">
        <f t="shared" si="76"/>
        <v>99999999</v>
      </c>
      <c r="IA27">
        <f t="shared" si="76"/>
        <v>99999999</v>
      </c>
      <c r="IB27">
        <f t="shared" si="76"/>
        <v>99999999</v>
      </c>
      <c r="IC27">
        <f t="shared" si="76"/>
        <v>99999999</v>
      </c>
      <c r="ID27">
        <f t="shared" si="76"/>
        <v>99999999</v>
      </c>
      <c r="IE27">
        <f t="shared" si="76"/>
        <v>99999999</v>
      </c>
      <c r="IF27">
        <f t="shared" si="77"/>
        <v>99999999</v>
      </c>
      <c r="IG27">
        <f t="shared" si="77"/>
        <v>99999999</v>
      </c>
      <c r="IH27">
        <f t="shared" si="77"/>
        <v>99999999</v>
      </c>
      <c r="II27">
        <f t="shared" si="77"/>
        <v>99999999</v>
      </c>
      <c r="IJ27">
        <f t="shared" si="77"/>
        <v>99999999</v>
      </c>
      <c r="IK27">
        <f t="shared" si="77"/>
        <v>99999999</v>
      </c>
      <c r="IL27">
        <f t="shared" si="77"/>
        <v>99999999</v>
      </c>
      <c r="IM27">
        <f t="shared" si="77"/>
        <v>99999999</v>
      </c>
      <c r="IN27">
        <f t="shared" si="77"/>
        <v>99999999</v>
      </c>
      <c r="IO27">
        <f t="shared" si="77"/>
        <v>99999999</v>
      </c>
      <c r="IP27">
        <f t="shared" si="78"/>
        <v>99999999</v>
      </c>
      <c r="IQ27">
        <f t="shared" si="78"/>
        <v>99999999</v>
      </c>
      <c r="IR27">
        <f t="shared" si="78"/>
        <v>99999999</v>
      </c>
      <c r="IS27">
        <f t="shared" si="78"/>
        <v>99999999</v>
      </c>
      <c r="IT27">
        <f t="shared" si="78"/>
        <v>99999999</v>
      </c>
      <c r="IU27">
        <f t="shared" si="78"/>
        <v>99999999</v>
      </c>
      <c r="IV27">
        <f t="shared" si="78"/>
        <v>99999999</v>
      </c>
      <c r="IW27">
        <f t="shared" si="78"/>
        <v>99999999</v>
      </c>
      <c r="IX27">
        <f t="shared" si="78"/>
        <v>99999999</v>
      </c>
      <c r="IY27">
        <f t="shared" si="78"/>
        <v>99999999</v>
      </c>
    </row>
    <row r="28" spans="1:259" x14ac:dyDescent="0.3">
      <c r="A28">
        <f>CAMBIOS!A28</f>
        <v>100</v>
      </c>
      <c r="B28">
        <f>IF(D28=1,CAMBIOS!P28*Valor_1+CAMBIOS!Q28*Valor_2+CAMBIOS!R28*Valor_3,IF(CAMBIOS!P28=1,Valor_1,Valor_2))</f>
        <v>5</v>
      </c>
      <c r="C28">
        <f>IF(D28=1,0,IF(CAMBIOS!R28=1,Valor_3,Valor_2))</f>
        <v>7</v>
      </c>
      <c r="D28">
        <f>CAMBIOS!P28+CAMBIOS!Q28+CAMBIOS!R28</f>
        <v>2</v>
      </c>
      <c r="E28">
        <f t="shared" si="0"/>
        <v>9982</v>
      </c>
      <c r="F28">
        <f t="shared" si="1"/>
        <v>13</v>
      </c>
      <c r="G28">
        <f t="shared" si="2"/>
        <v>5</v>
      </c>
      <c r="H28">
        <f t="shared" si="3"/>
        <v>0</v>
      </c>
      <c r="J28">
        <f t="shared" si="54"/>
        <v>409986</v>
      </c>
      <c r="K28">
        <f t="shared" si="54"/>
        <v>609986</v>
      </c>
      <c r="L28">
        <f t="shared" si="54"/>
        <v>109985</v>
      </c>
      <c r="M28">
        <f t="shared" si="54"/>
        <v>309985</v>
      </c>
      <c r="N28">
        <f t="shared" si="54"/>
        <v>509985</v>
      </c>
      <c r="O28">
        <f t="shared" si="54"/>
        <v>9984</v>
      </c>
      <c r="P28">
        <f t="shared" si="54"/>
        <v>209984</v>
      </c>
      <c r="Q28">
        <f t="shared" si="54"/>
        <v>409984</v>
      </c>
      <c r="R28">
        <f t="shared" si="54"/>
        <v>609984</v>
      </c>
      <c r="S28">
        <f t="shared" si="54"/>
        <v>109983</v>
      </c>
      <c r="T28">
        <f t="shared" si="55"/>
        <v>309983</v>
      </c>
      <c r="U28">
        <f t="shared" si="55"/>
        <v>509983</v>
      </c>
      <c r="V28">
        <f t="shared" si="55"/>
        <v>9982</v>
      </c>
      <c r="W28">
        <f t="shared" si="55"/>
        <v>209982</v>
      </c>
      <c r="X28">
        <f t="shared" si="55"/>
        <v>409982</v>
      </c>
      <c r="Y28">
        <f t="shared" si="55"/>
        <v>609982</v>
      </c>
      <c r="Z28">
        <f t="shared" si="55"/>
        <v>109981</v>
      </c>
      <c r="AA28">
        <f t="shared" si="55"/>
        <v>309981</v>
      </c>
      <c r="AB28">
        <f t="shared" si="55"/>
        <v>99999999</v>
      </c>
      <c r="AC28">
        <f t="shared" si="55"/>
        <v>99999999</v>
      </c>
      <c r="AD28">
        <f t="shared" si="56"/>
        <v>99999999</v>
      </c>
      <c r="AE28">
        <f t="shared" si="56"/>
        <v>99999999</v>
      </c>
      <c r="AF28">
        <f t="shared" si="56"/>
        <v>99999999</v>
      </c>
      <c r="AG28">
        <f t="shared" si="56"/>
        <v>99999999</v>
      </c>
      <c r="AH28">
        <f t="shared" si="56"/>
        <v>99999999</v>
      </c>
      <c r="AI28">
        <f t="shared" si="56"/>
        <v>99999999</v>
      </c>
      <c r="AJ28">
        <f t="shared" si="56"/>
        <v>99999999</v>
      </c>
      <c r="AK28">
        <f t="shared" si="56"/>
        <v>99999999</v>
      </c>
      <c r="AL28">
        <f t="shared" si="56"/>
        <v>99999999</v>
      </c>
      <c r="AM28">
        <f t="shared" si="56"/>
        <v>99999999</v>
      </c>
      <c r="AN28">
        <f t="shared" si="57"/>
        <v>99999999</v>
      </c>
      <c r="AO28">
        <f t="shared" si="57"/>
        <v>99999999</v>
      </c>
      <c r="AP28">
        <f t="shared" si="57"/>
        <v>99999999</v>
      </c>
      <c r="AQ28">
        <f t="shared" si="57"/>
        <v>99999999</v>
      </c>
      <c r="AR28">
        <f t="shared" si="57"/>
        <v>99999999</v>
      </c>
      <c r="AS28">
        <f t="shared" si="57"/>
        <v>99999999</v>
      </c>
      <c r="AT28">
        <f t="shared" si="57"/>
        <v>99999999</v>
      </c>
      <c r="AU28">
        <f t="shared" si="57"/>
        <v>99999999</v>
      </c>
      <c r="AV28">
        <f t="shared" si="57"/>
        <v>99999999</v>
      </c>
      <c r="AW28">
        <f t="shared" si="57"/>
        <v>99999999</v>
      </c>
      <c r="AX28">
        <f t="shared" si="58"/>
        <v>99999999</v>
      </c>
      <c r="AY28">
        <f t="shared" si="58"/>
        <v>99999999</v>
      </c>
      <c r="AZ28">
        <f t="shared" si="58"/>
        <v>99999999</v>
      </c>
      <c r="BA28">
        <f t="shared" si="58"/>
        <v>99999999</v>
      </c>
      <c r="BB28">
        <f t="shared" si="58"/>
        <v>99999999</v>
      </c>
      <c r="BC28">
        <f t="shared" si="58"/>
        <v>99999999</v>
      </c>
      <c r="BD28">
        <f t="shared" si="58"/>
        <v>99999999</v>
      </c>
      <c r="BE28">
        <f t="shared" si="58"/>
        <v>99999999</v>
      </c>
      <c r="BF28">
        <f t="shared" si="58"/>
        <v>99999999</v>
      </c>
      <c r="BG28">
        <f t="shared" si="58"/>
        <v>99999999</v>
      </c>
      <c r="BH28">
        <f t="shared" si="59"/>
        <v>99999999</v>
      </c>
      <c r="BI28">
        <f t="shared" si="59"/>
        <v>99999999</v>
      </c>
      <c r="BJ28">
        <f t="shared" si="59"/>
        <v>99999999</v>
      </c>
      <c r="BK28">
        <f t="shared" si="59"/>
        <v>99999999</v>
      </c>
      <c r="BL28">
        <f t="shared" si="59"/>
        <v>99999999</v>
      </c>
      <c r="BM28">
        <f t="shared" si="59"/>
        <v>99999999</v>
      </c>
      <c r="BN28">
        <f t="shared" si="59"/>
        <v>99999999</v>
      </c>
      <c r="BO28">
        <f t="shared" si="59"/>
        <v>99999999</v>
      </c>
      <c r="BP28">
        <f t="shared" si="59"/>
        <v>99999999</v>
      </c>
      <c r="BQ28">
        <f t="shared" si="59"/>
        <v>99999999</v>
      </c>
      <c r="BR28">
        <f t="shared" si="60"/>
        <v>99999999</v>
      </c>
      <c r="BS28">
        <f t="shared" si="60"/>
        <v>99999999</v>
      </c>
      <c r="BT28">
        <f t="shared" si="60"/>
        <v>99999999</v>
      </c>
      <c r="BU28">
        <f t="shared" si="60"/>
        <v>99999999</v>
      </c>
      <c r="BV28">
        <f t="shared" si="60"/>
        <v>99999999</v>
      </c>
      <c r="BW28">
        <f t="shared" si="60"/>
        <v>99999999</v>
      </c>
      <c r="BX28">
        <f t="shared" si="60"/>
        <v>99999999</v>
      </c>
      <c r="BY28">
        <f t="shared" si="60"/>
        <v>99999999</v>
      </c>
      <c r="BZ28">
        <f t="shared" si="60"/>
        <v>99999999</v>
      </c>
      <c r="CA28">
        <f t="shared" si="60"/>
        <v>99999999</v>
      </c>
      <c r="CB28">
        <f t="shared" si="61"/>
        <v>99999999</v>
      </c>
      <c r="CC28">
        <f t="shared" si="61"/>
        <v>99999999</v>
      </c>
      <c r="CD28">
        <f t="shared" si="61"/>
        <v>99999999</v>
      </c>
      <c r="CE28">
        <f t="shared" si="61"/>
        <v>99999999</v>
      </c>
      <c r="CF28">
        <f t="shared" si="61"/>
        <v>99999999</v>
      </c>
      <c r="CG28">
        <f t="shared" si="61"/>
        <v>99999999</v>
      </c>
      <c r="CH28">
        <f t="shared" si="61"/>
        <v>99999999</v>
      </c>
      <c r="CI28">
        <f t="shared" si="61"/>
        <v>99999999</v>
      </c>
      <c r="CJ28">
        <f t="shared" si="61"/>
        <v>99999999</v>
      </c>
      <c r="CK28">
        <f t="shared" si="61"/>
        <v>99999999</v>
      </c>
      <c r="CL28">
        <f t="shared" si="62"/>
        <v>99999999</v>
      </c>
      <c r="CM28">
        <f t="shared" si="62"/>
        <v>99999999</v>
      </c>
      <c r="CN28">
        <f t="shared" si="62"/>
        <v>99999999</v>
      </c>
      <c r="CO28">
        <f t="shared" si="62"/>
        <v>99999999</v>
      </c>
      <c r="CP28">
        <f t="shared" si="62"/>
        <v>99999999</v>
      </c>
      <c r="CQ28">
        <f t="shared" si="62"/>
        <v>99999999</v>
      </c>
      <c r="CR28">
        <f t="shared" si="62"/>
        <v>99999999</v>
      </c>
      <c r="CS28">
        <f t="shared" si="62"/>
        <v>99999999</v>
      </c>
      <c r="CT28">
        <f t="shared" si="62"/>
        <v>99999999</v>
      </c>
      <c r="CU28">
        <f t="shared" si="62"/>
        <v>99999999</v>
      </c>
      <c r="CV28">
        <f t="shared" si="63"/>
        <v>99999999</v>
      </c>
      <c r="CW28">
        <f t="shared" si="63"/>
        <v>99999999</v>
      </c>
      <c r="CX28">
        <f t="shared" si="63"/>
        <v>99999999</v>
      </c>
      <c r="CY28">
        <f t="shared" si="63"/>
        <v>99999999</v>
      </c>
      <c r="CZ28">
        <f t="shared" si="63"/>
        <v>99999999</v>
      </c>
      <c r="DA28">
        <f t="shared" si="63"/>
        <v>99999999</v>
      </c>
      <c r="DB28">
        <f t="shared" si="63"/>
        <v>99999999</v>
      </c>
      <c r="DC28">
        <f t="shared" si="63"/>
        <v>99999999</v>
      </c>
      <c r="DD28">
        <f t="shared" si="63"/>
        <v>99999999</v>
      </c>
      <c r="DE28">
        <f t="shared" si="63"/>
        <v>99999999</v>
      </c>
      <c r="DF28">
        <f t="shared" si="64"/>
        <v>99999999</v>
      </c>
      <c r="DG28">
        <f t="shared" si="64"/>
        <v>99999999</v>
      </c>
      <c r="DH28">
        <f t="shared" si="64"/>
        <v>99999999</v>
      </c>
      <c r="DI28">
        <f t="shared" si="64"/>
        <v>99999999</v>
      </c>
      <c r="DJ28">
        <f t="shared" si="64"/>
        <v>99999999</v>
      </c>
      <c r="DK28">
        <f t="shared" si="64"/>
        <v>99999999</v>
      </c>
      <c r="DL28">
        <f t="shared" si="64"/>
        <v>99999999</v>
      </c>
      <c r="DM28">
        <f t="shared" si="64"/>
        <v>99999999</v>
      </c>
      <c r="DN28">
        <f t="shared" si="64"/>
        <v>99999999</v>
      </c>
      <c r="DO28">
        <f t="shared" si="64"/>
        <v>99999999</v>
      </c>
      <c r="DP28">
        <f t="shared" si="65"/>
        <v>99999999</v>
      </c>
      <c r="DQ28">
        <f t="shared" si="65"/>
        <v>99999999</v>
      </c>
      <c r="DR28">
        <f t="shared" si="65"/>
        <v>99999999</v>
      </c>
      <c r="DS28">
        <f t="shared" si="65"/>
        <v>99999999</v>
      </c>
      <c r="DT28">
        <f t="shared" si="65"/>
        <v>99999999</v>
      </c>
      <c r="DU28">
        <f t="shared" si="65"/>
        <v>99999999</v>
      </c>
      <c r="DV28">
        <f t="shared" si="65"/>
        <v>99999999</v>
      </c>
      <c r="DW28">
        <f t="shared" si="65"/>
        <v>99999999</v>
      </c>
      <c r="DX28">
        <f t="shared" si="65"/>
        <v>99999999</v>
      </c>
      <c r="DY28">
        <f t="shared" si="65"/>
        <v>99999999</v>
      </c>
      <c r="DZ28">
        <f t="shared" si="66"/>
        <v>99999999</v>
      </c>
      <c r="EA28">
        <f t="shared" si="66"/>
        <v>99999999</v>
      </c>
      <c r="EB28">
        <f t="shared" si="66"/>
        <v>99999999</v>
      </c>
      <c r="EC28">
        <f t="shared" si="66"/>
        <v>99999999</v>
      </c>
      <c r="ED28">
        <f t="shared" si="66"/>
        <v>99999999</v>
      </c>
      <c r="EE28">
        <f t="shared" si="66"/>
        <v>99999999</v>
      </c>
      <c r="EF28">
        <f t="shared" si="66"/>
        <v>99999999</v>
      </c>
      <c r="EG28">
        <f t="shared" si="66"/>
        <v>99999999</v>
      </c>
      <c r="EH28">
        <f t="shared" si="66"/>
        <v>99999999</v>
      </c>
      <c r="EI28">
        <f t="shared" si="66"/>
        <v>99999999</v>
      </c>
      <c r="EJ28">
        <f t="shared" si="67"/>
        <v>99999999</v>
      </c>
      <c r="EK28">
        <f t="shared" si="67"/>
        <v>99999999</v>
      </c>
      <c r="EL28">
        <f t="shared" si="67"/>
        <v>99999999</v>
      </c>
      <c r="EM28">
        <f t="shared" si="67"/>
        <v>99999999</v>
      </c>
      <c r="EN28">
        <f t="shared" si="67"/>
        <v>99999999</v>
      </c>
      <c r="EO28">
        <f t="shared" si="67"/>
        <v>99999999</v>
      </c>
      <c r="EP28">
        <f t="shared" si="67"/>
        <v>99999999</v>
      </c>
      <c r="EQ28">
        <f t="shared" si="67"/>
        <v>99999999</v>
      </c>
      <c r="ER28">
        <f t="shared" si="67"/>
        <v>99999999</v>
      </c>
      <c r="ES28">
        <f t="shared" si="67"/>
        <v>99999999</v>
      </c>
      <c r="ET28">
        <f t="shared" si="68"/>
        <v>99999999</v>
      </c>
      <c r="EU28">
        <f t="shared" si="68"/>
        <v>99999999</v>
      </c>
      <c r="EV28">
        <f t="shared" si="68"/>
        <v>99999999</v>
      </c>
      <c r="EW28">
        <f t="shared" si="68"/>
        <v>99999999</v>
      </c>
      <c r="EX28">
        <f t="shared" si="68"/>
        <v>99999999</v>
      </c>
      <c r="EY28">
        <f t="shared" si="68"/>
        <v>99999999</v>
      </c>
      <c r="EZ28">
        <f t="shared" si="68"/>
        <v>99999999</v>
      </c>
      <c r="FA28">
        <f t="shared" si="68"/>
        <v>99999999</v>
      </c>
      <c r="FB28">
        <f t="shared" si="68"/>
        <v>99999999</v>
      </c>
      <c r="FC28">
        <f t="shared" si="68"/>
        <v>99999999</v>
      </c>
      <c r="FD28">
        <f t="shared" si="69"/>
        <v>99999999</v>
      </c>
      <c r="FE28">
        <f t="shared" si="69"/>
        <v>99999999</v>
      </c>
      <c r="FF28">
        <f t="shared" si="69"/>
        <v>99999999</v>
      </c>
      <c r="FG28">
        <f t="shared" si="69"/>
        <v>99999999</v>
      </c>
      <c r="FH28">
        <f t="shared" si="69"/>
        <v>99999999</v>
      </c>
      <c r="FI28">
        <f t="shared" si="69"/>
        <v>99999999</v>
      </c>
      <c r="FJ28">
        <f t="shared" si="69"/>
        <v>99999999</v>
      </c>
      <c r="FK28">
        <f t="shared" si="69"/>
        <v>99999999</v>
      </c>
      <c r="FL28">
        <f t="shared" si="69"/>
        <v>99999999</v>
      </c>
      <c r="FM28">
        <f t="shared" si="69"/>
        <v>99999999</v>
      </c>
      <c r="FN28">
        <f t="shared" si="70"/>
        <v>99999999</v>
      </c>
      <c r="FO28">
        <f t="shared" si="70"/>
        <v>99999999</v>
      </c>
      <c r="FP28">
        <f t="shared" si="70"/>
        <v>99999999</v>
      </c>
      <c r="FQ28">
        <f t="shared" si="70"/>
        <v>99999999</v>
      </c>
      <c r="FR28">
        <f t="shared" si="70"/>
        <v>99999999</v>
      </c>
      <c r="FS28">
        <f t="shared" si="70"/>
        <v>99999999</v>
      </c>
      <c r="FT28">
        <f t="shared" si="70"/>
        <v>99999999</v>
      </c>
      <c r="FU28">
        <f t="shared" si="70"/>
        <v>99999999</v>
      </c>
      <c r="FV28">
        <f t="shared" si="70"/>
        <v>99999999</v>
      </c>
      <c r="FW28">
        <f t="shared" si="70"/>
        <v>99999999</v>
      </c>
      <c r="FX28">
        <f t="shared" si="71"/>
        <v>99999999</v>
      </c>
      <c r="FY28">
        <f t="shared" si="71"/>
        <v>99999999</v>
      </c>
      <c r="FZ28">
        <f t="shared" si="71"/>
        <v>99999999</v>
      </c>
      <c r="GA28">
        <f t="shared" si="71"/>
        <v>99999999</v>
      </c>
      <c r="GB28">
        <f t="shared" si="71"/>
        <v>99999999</v>
      </c>
      <c r="GC28">
        <f t="shared" si="71"/>
        <v>99999999</v>
      </c>
      <c r="GD28">
        <f t="shared" si="71"/>
        <v>99999999</v>
      </c>
      <c r="GE28">
        <f t="shared" si="71"/>
        <v>99999999</v>
      </c>
      <c r="GF28">
        <f t="shared" si="71"/>
        <v>99999999</v>
      </c>
      <c r="GG28">
        <f t="shared" si="71"/>
        <v>99999999</v>
      </c>
      <c r="GH28">
        <f t="shared" si="72"/>
        <v>99999999</v>
      </c>
      <c r="GI28">
        <f t="shared" si="72"/>
        <v>99999999</v>
      </c>
      <c r="GJ28">
        <f t="shared" si="72"/>
        <v>99999999</v>
      </c>
      <c r="GK28">
        <f t="shared" si="72"/>
        <v>99999999</v>
      </c>
      <c r="GL28">
        <f t="shared" si="72"/>
        <v>99999999</v>
      </c>
      <c r="GM28">
        <f t="shared" si="72"/>
        <v>99999999</v>
      </c>
      <c r="GN28">
        <f t="shared" si="72"/>
        <v>99999999</v>
      </c>
      <c r="GO28">
        <f t="shared" si="72"/>
        <v>99999999</v>
      </c>
      <c r="GP28">
        <f t="shared" si="72"/>
        <v>99999999</v>
      </c>
      <c r="GQ28">
        <f t="shared" si="72"/>
        <v>99999999</v>
      </c>
      <c r="GR28">
        <f t="shared" si="73"/>
        <v>99999999</v>
      </c>
      <c r="GS28">
        <f t="shared" si="73"/>
        <v>99999999</v>
      </c>
      <c r="GT28">
        <f t="shared" si="73"/>
        <v>99999999</v>
      </c>
      <c r="GU28">
        <f t="shared" si="73"/>
        <v>99999999</v>
      </c>
      <c r="GV28">
        <f t="shared" si="73"/>
        <v>99999999</v>
      </c>
      <c r="GW28">
        <f t="shared" si="73"/>
        <v>99999999</v>
      </c>
      <c r="GX28">
        <f t="shared" si="73"/>
        <v>99999999</v>
      </c>
      <c r="GY28">
        <f t="shared" si="73"/>
        <v>99999999</v>
      </c>
      <c r="GZ28">
        <f t="shared" si="73"/>
        <v>99999999</v>
      </c>
      <c r="HA28">
        <f t="shared" si="73"/>
        <v>99999999</v>
      </c>
      <c r="HB28">
        <f t="shared" si="74"/>
        <v>99999999</v>
      </c>
      <c r="HC28">
        <f t="shared" si="74"/>
        <v>99999999</v>
      </c>
      <c r="HD28">
        <f t="shared" si="74"/>
        <v>99999999</v>
      </c>
      <c r="HE28">
        <f t="shared" si="74"/>
        <v>99999999</v>
      </c>
      <c r="HF28">
        <f t="shared" si="74"/>
        <v>99999999</v>
      </c>
      <c r="HG28">
        <f t="shared" si="74"/>
        <v>99999999</v>
      </c>
      <c r="HH28">
        <f t="shared" si="74"/>
        <v>99999999</v>
      </c>
      <c r="HI28">
        <f t="shared" si="74"/>
        <v>99999999</v>
      </c>
      <c r="HJ28">
        <f t="shared" si="74"/>
        <v>99999999</v>
      </c>
      <c r="HK28">
        <f t="shared" si="74"/>
        <v>99999999</v>
      </c>
      <c r="HL28">
        <f t="shared" si="75"/>
        <v>99999999</v>
      </c>
      <c r="HM28">
        <f t="shared" si="75"/>
        <v>99999999</v>
      </c>
      <c r="HN28">
        <f t="shared" si="75"/>
        <v>99999999</v>
      </c>
      <c r="HO28">
        <f t="shared" si="75"/>
        <v>99999999</v>
      </c>
      <c r="HP28">
        <f t="shared" si="75"/>
        <v>99999999</v>
      </c>
      <c r="HQ28">
        <f t="shared" si="75"/>
        <v>99999999</v>
      </c>
      <c r="HR28">
        <f t="shared" si="75"/>
        <v>99999999</v>
      </c>
      <c r="HS28">
        <f t="shared" si="75"/>
        <v>99999999</v>
      </c>
      <c r="HT28">
        <f t="shared" si="75"/>
        <v>99999999</v>
      </c>
      <c r="HU28">
        <f t="shared" si="75"/>
        <v>99999999</v>
      </c>
      <c r="HV28">
        <f t="shared" si="76"/>
        <v>99999999</v>
      </c>
      <c r="HW28">
        <f t="shared" si="76"/>
        <v>99999999</v>
      </c>
      <c r="HX28">
        <f t="shared" si="76"/>
        <v>99999999</v>
      </c>
      <c r="HY28">
        <f t="shared" si="76"/>
        <v>99999999</v>
      </c>
      <c r="HZ28">
        <f t="shared" si="76"/>
        <v>99999999</v>
      </c>
      <c r="IA28">
        <f t="shared" si="76"/>
        <v>99999999</v>
      </c>
      <c r="IB28">
        <f t="shared" si="76"/>
        <v>99999999</v>
      </c>
      <c r="IC28">
        <f t="shared" si="76"/>
        <v>99999999</v>
      </c>
      <c r="ID28">
        <f t="shared" si="76"/>
        <v>99999999</v>
      </c>
      <c r="IE28">
        <f t="shared" si="76"/>
        <v>99999999</v>
      </c>
      <c r="IF28">
        <f t="shared" si="77"/>
        <v>99999999</v>
      </c>
      <c r="IG28">
        <f t="shared" si="77"/>
        <v>99999999</v>
      </c>
      <c r="IH28">
        <f t="shared" si="77"/>
        <v>99999999</v>
      </c>
      <c r="II28">
        <f t="shared" si="77"/>
        <v>99999999</v>
      </c>
      <c r="IJ28">
        <f t="shared" si="77"/>
        <v>99999999</v>
      </c>
      <c r="IK28">
        <f t="shared" si="77"/>
        <v>99999999</v>
      </c>
      <c r="IL28">
        <f t="shared" si="77"/>
        <v>99999999</v>
      </c>
      <c r="IM28">
        <f t="shared" si="77"/>
        <v>99999999</v>
      </c>
      <c r="IN28">
        <f t="shared" si="77"/>
        <v>99999999</v>
      </c>
      <c r="IO28">
        <f t="shared" si="77"/>
        <v>99999999</v>
      </c>
      <c r="IP28">
        <f t="shared" si="78"/>
        <v>99999999</v>
      </c>
      <c r="IQ28">
        <f t="shared" si="78"/>
        <v>99999999</v>
      </c>
      <c r="IR28">
        <f t="shared" si="78"/>
        <v>99999999</v>
      </c>
      <c r="IS28">
        <f t="shared" si="78"/>
        <v>99999999</v>
      </c>
      <c r="IT28">
        <f t="shared" si="78"/>
        <v>99999999</v>
      </c>
      <c r="IU28">
        <f t="shared" si="78"/>
        <v>99999999</v>
      </c>
      <c r="IV28">
        <f t="shared" si="78"/>
        <v>99999999</v>
      </c>
      <c r="IW28">
        <f t="shared" si="78"/>
        <v>99999999</v>
      </c>
      <c r="IX28">
        <f t="shared" si="78"/>
        <v>99999999</v>
      </c>
      <c r="IY28">
        <f t="shared" si="78"/>
        <v>99999999</v>
      </c>
    </row>
    <row r="29" spans="1:259" x14ac:dyDescent="0.3">
      <c r="A29">
        <f>CAMBIOS!A29</f>
        <v>200</v>
      </c>
      <c r="B29">
        <f>IF(D29=1,CAMBIOS!P29*Valor_1+CAMBIOS!Q29*Valor_2+CAMBIOS!R29*Valor_3,IF(CAMBIOS!P29=1,Valor_1,Valor_2))</f>
        <v>3</v>
      </c>
      <c r="C29">
        <f>IF(D29=1,0,IF(CAMBIOS!R29=1,Valor_3,Valor_2))</f>
        <v>0</v>
      </c>
      <c r="D29">
        <f>CAMBIOS!P29+CAMBIOS!Q29+CAMBIOS!R29</f>
        <v>1</v>
      </c>
      <c r="E29">
        <f t="shared" si="0"/>
        <v>99999999</v>
      </c>
      <c r="F29">
        <f t="shared" si="1"/>
        <v>66</v>
      </c>
      <c r="G29">
        <f t="shared" si="2"/>
        <v>0</v>
      </c>
      <c r="H29">
        <f t="shared" si="3"/>
        <v>2</v>
      </c>
      <c r="J29">
        <f t="shared" si="54"/>
        <v>99999999</v>
      </c>
      <c r="K29">
        <f t="shared" si="54"/>
        <v>99999999</v>
      </c>
      <c r="L29">
        <f t="shared" si="54"/>
        <v>99999999</v>
      </c>
      <c r="M29">
        <f t="shared" si="54"/>
        <v>99999999</v>
      </c>
      <c r="N29">
        <f t="shared" si="54"/>
        <v>99999999</v>
      </c>
      <c r="O29">
        <f t="shared" si="54"/>
        <v>99999999</v>
      </c>
      <c r="P29">
        <f t="shared" si="54"/>
        <v>99999999</v>
      </c>
      <c r="Q29">
        <f t="shared" si="54"/>
        <v>99999999</v>
      </c>
      <c r="R29">
        <f t="shared" si="54"/>
        <v>99999999</v>
      </c>
      <c r="S29">
        <f t="shared" si="54"/>
        <v>99999999</v>
      </c>
      <c r="T29">
        <f t="shared" si="55"/>
        <v>99999999</v>
      </c>
      <c r="U29">
        <f t="shared" si="55"/>
        <v>99999999</v>
      </c>
      <c r="V29">
        <f t="shared" si="55"/>
        <v>99999999</v>
      </c>
      <c r="W29">
        <f t="shared" si="55"/>
        <v>99999999</v>
      </c>
      <c r="X29">
        <f t="shared" si="55"/>
        <v>99999999</v>
      </c>
      <c r="Y29">
        <f t="shared" si="55"/>
        <v>99999999</v>
      </c>
      <c r="Z29">
        <f t="shared" si="55"/>
        <v>99999999</v>
      </c>
      <c r="AA29">
        <f t="shared" si="55"/>
        <v>99999999</v>
      </c>
      <c r="AB29">
        <f t="shared" si="55"/>
        <v>99999999</v>
      </c>
      <c r="AC29">
        <f t="shared" si="55"/>
        <v>99999999</v>
      </c>
      <c r="AD29">
        <f t="shared" si="56"/>
        <v>99999999</v>
      </c>
      <c r="AE29">
        <f t="shared" si="56"/>
        <v>99999999</v>
      </c>
      <c r="AF29">
        <f t="shared" si="56"/>
        <v>99999999</v>
      </c>
      <c r="AG29">
        <f t="shared" si="56"/>
        <v>99999999</v>
      </c>
      <c r="AH29">
        <f t="shared" si="56"/>
        <v>99999999</v>
      </c>
      <c r="AI29">
        <f t="shared" si="56"/>
        <v>99999999</v>
      </c>
      <c r="AJ29">
        <f t="shared" si="56"/>
        <v>99999999</v>
      </c>
      <c r="AK29">
        <f t="shared" si="56"/>
        <v>99999999</v>
      </c>
      <c r="AL29">
        <f t="shared" si="56"/>
        <v>99999999</v>
      </c>
      <c r="AM29">
        <f t="shared" si="56"/>
        <v>99999999</v>
      </c>
      <c r="AN29">
        <f t="shared" si="57"/>
        <v>99999999</v>
      </c>
      <c r="AO29">
        <f t="shared" si="57"/>
        <v>99999999</v>
      </c>
      <c r="AP29">
        <f t="shared" si="57"/>
        <v>99999999</v>
      </c>
      <c r="AQ29">
        <f t="shared" si="57"/>
        <v>99999999</v>
      </c>
      <c r="AR29">
        <f t="shared" si="57"/>
        <v>99999999</v>
      </c>
      <c r="AS29">
        <f t="shared" si="57"/>
        <v>99999999</v>
      </c>
      <c r="AT29">
        <f t="shared" si="57"/>
        <v>99999999</v>
      </c>
      <c r="AU29">
        <f t="shared" si="57"/>
        <v>99999999</v>
      </c>
      <c r="AV29">
        <f t="shared" si="57"/>
        <v>99999999</v>
      </c>
      <c r="AW29">
        <f t="shared" si="57"/>
        <v>99999999</v>
      </c>
      <c r="AX29">
        <f t="shared" si="58"/>
        <v>99999999</v>
      </c>
      <c r="AY29">
        <f t="shared" si="58"/>
        <v>99999999</v>
      </c>
      <c r="AZ29">
        <f t="shared" si="58"/>
        <v>99999999</v>
      </c>
      <c r="BA29">
        <f t="shared" si="58"/>
        <v>99999999</v>
      </c>
      <c r="BB29">
        <f t="shared" si="58"/>
        <v>99999999</v>
      </c>
      <c r="BC29">
        <f t="shared" si="58"/>
        <v>99999999</v>
      </c>
      <c r="BD29">
        <f t="shared" si="58"/>
        <v>99999999</v>
      </c>
      <c r="BE29">
        <f t="shared" si="58"/>
        <v>99999999</v>
      </c>
      <c r="BF29">
        <f t="shared" si="58"/>
        <v>99999999</v>
      </c>
      <c r="BG29">
        <f t="shared" si="58"/>
        <v>99999999</v>
      </c>
      <c r="BH29">
        <f t="shared" si="59"/>
        <v>99999999</v>
      </c>
      <c r="BI29">
        <f t="shared" si="59"/>
        <v>99999999</v>
      </c>
      <c r="BJ29">
        <f t="shared" si="59"/>
        <v>99999999</v>
      </c>
      <c r="BK29">
        <f t="shared" si="59"/>
        <v>99999999</v>
      </c>
      <c r="BL29">
        <f t="shared" si="59"/>
        <v>99999999</v>
      </c>
      <c r="BM29">
        <f t="shared" si="59"/>
        <v>99999999</v>
      </c>
      <c r="BN29">
        <f t="shared" si="59"/>
        <v>99999999</v>
      </c>
      <c r="BO29">
        <f t="shared" si="59"/>
        <v>99999999</v>
      </c>
      <c r="BP29">
        <f t="shared" si="59"/>
        <v>99999999</v>
      </c>
      <c r="BQ29">
        <f t="shared" si="59"/>
        <v>99999999</v>
      </c>
      <c r="BR29">
        <f t="shared" si="60"/>
        <v>99999999</v>
      </c>
      <c r="BS29">
        <f t="shared" si="60"/>
        <v>99999999</v>
      </c>
      <c r="BT29">
        <f t="shared" si="60"/>
        <v>99999999</v>
      </c>
      <c r="BU29">
        <f t="shared" si="60"/>
        <v>99999999</v>
      </c>
      <c r="BV29">
        <f t="shared" si="60"/>
        <v>99999999</v>
      </c>
      <c r="BW29">
        <f t="shared" si="60"/>
        <v>99999999</v>
      </c>
      <c r="BX29">
        <f t="shared" si="60"/>
        <v>99999999</v>
      </c>
      <c r="BY29">
        <f t="shared" si="60"/>
        <v>99999999</v>
      </c>
      <c r="BZ29">
        <f t="shared" si="60"/>
        <v>99999999</v>
      </c>
      <c r="CA29">
        <f t="shared" si="60"/>
        <v>99999999</v>
      </c>
      <c r="CB29">
        <f t="shared" si="61"/>
        <v>99999999</v>
      </c>
      <c r="CC29">
        <f t="shared" si="61"/>
        <v>99999999</v>
      </c>
      <c r="CD29">
        <f t="shared" si="61"/>
        <v>99999999</v>
      </c>
      <c r="CE29">
        <f t="shared" si="61"/>
        <v>99999999</v>
      </c>
      <c r="CF29">
        <f t="shared" si="61"/>
        <v>99999999</v>
      </c>
      <c r="CG29">
        <f t="shared" si="61"/>
        <v>99999999</v>
      </c>
      <c r="CH29">
        <f t="shared" si="61"/>
        <v>99999999</v>
      </c>
      <c r="CI29">
        <f t="shared" si="61"/>
        <v>99999999</v>
      </c>
      <c r="CJ29">
        <f t="shared" si="61"/>
        <v>99999999</v>
      </c>
      <c r="CK29">
        <f t="shared" si="61"/>
        <v>99999999</v>
      </c>
      <c r="CL29">
        <f t="shared" si="62"/>
        <v>99999999</v>
      </c>
      <c r="CM29">
        <f t="shared" si="62"/>
        <v>99999999</v>
      </c>
      <c r="CN29">
        <f t="shared" si="62"/>
        <v>99999999</v>
      </c>
      <c r="CO29">
        <f t="shared" si="62"/>
        <v>99999999</v>
      </c>
      <c r="CP29">
        <f t="shared" si="62"/>
        <v>99999999</v>
      </c>
      <c r="CQ29">
        <f t="shared" si="62"/>
        <v>99999999</v>
      </c>
      <c r="CR29">
        <f t="shared" si="62"/>
        <v>99999999</v>
      </c>
      <c r="CS29">
        <f t="shared" si="62"/>
        <v>99999999</v>
      </c>
      <c r="CT29">
        <f t="shared" si="62"/>
        <v>99999999</v>
      </c>
      <c r="CU29">
        <f t="shared" si="62"/>
        <v>99999999</v>
      </c>
      <c r="CV29">
        <f t="shared" si="63"/>
        <v>99999999</v>
      </c>
      <c r="CW29">
        <f t="shared" si="63"/>
        <v>99999999</v>
      </c>
      <c r="CX29">
        <f t="shared" si="63"/>
        <v>99999999</v>
      </c>
      <c r="CY29">
        <f t="shared" si="63"/>
        <v>99999999</v>
      </c>
      <c r="CZ29">
        <f t="shared" si="63"/>
        <v>99999999</v>
      </c>
      <c r="DA29">
        <f t="shared" si="63"/>
        <v>99999999</v>
      </c>
      <c r="DB29">
        <f t="shared" si="63"/>
        <v>99999999</v>
      </c>
      <c r="DC29">
        <f t="shared" si="63"/>
        <v>99999999</v>
      </c>
      <c r="DD29">
        <f t="shared" si="63"/>
        <v>99999999</v>
      </c>
      <c r="DE29">
        <f t="shared" si="63"/>
        <v>99999999</v>
      </c>
      <c r="DF29">
        <f t="shared" si="64"/>
        <v>99999999</v>
      </c>
      <c r="DG29">
        <f t="shared" si="64"/>
        <v>99999999</v>
      </c>
      <c r="DH29">
        <f t="shared" si="64"/>
        <v>99999999</v>
      </c>
      <c r="DI29">
        <f t="shared" si="64"/>
        <v>99999999</v>
      </c>
      <c r="DJ29">
        <f t="shared" si="64"/>
        <v>99999999</v>
      </c>
      <c r="DK29">
        <f t="shared" si="64"/>
        <v>99999999</v>
      </c>
      <c r="DL29">
        <f t="shared" si="64"/>
        <v>99999999</v>
      </c>
      <c r="DM29">
        <f t="shared" si="64"/>
        <v>99999999</v>
      </c>
      <c r="DN29">
        <f t="shared" si="64"/>
        <v>99999999</v>
      </c>
      <c r="DO29">
        <f t="shared" si="64"/>
        <v>99999999</v>
      </c>
      <c r="DP29">
        <f t="shared" si="65"/>
        <v>99999999</v>
      </c>
      <c r="DQ29">
        <f t="shared" si="65"/>
        <v>99999999</v>
      </c>
      <c r="DR29">
        <f t="shared" si="65"/>
        <v>99999999</v>
      </c>
      <c r="DS29">
        <f t="shared" si="65"/>
        <v>99999999</v>
      </c>
      <c r="DT29">
        <f t="shared" si="65"/>
        <v>99999999</v>
      </c>
      <c r="DU29">
        <f t="shared" si="65"/>
        <v>99999999</v>
      </c>
      <c r="DV29">
        <f t="shared" si="65"/>
        <v>99999999</v>
      </c>
      <c r="DW29">
        <f t="shared" si="65"/>
        <v>99999999</v>
      </c>
      <c r="DX29">
        <f t="shared" si="65"/>
        <v>99999999</v>
      </c>
      <c r="DY29">
        <f t="shared" si="65"/>
        <v>99999999</v>
      </c>
      <c r="DZ29">
        <f t="shared" si="66"/>
        <v>99999999</v>
      </c>
      <c r="EA29">
        <f t="shared" si="66"/>
        <v>99999999</v>
      </c>
      <c r="EB29">
        <f t="shared" si="66"/>
        <v>99999999</v>
      </c>
      <c r="EC29">
        <f t="shared" si="66"/>
        <v>99999999</v>
      </c>
      <c r="ED29">
        <f t="shared" si="66"/>
        <v>99999999</v>
      </c>
      <c r="EE29">
        <f t="shared" si="66"/>
        <v>99999999</v>
      </c>
      <c r="EF29">
        <f t="shared" si="66"/>
        <v>99999999</v>
      </c>
      <c r="EG29">
        <f t="shared" si="66"/>
        <v>99999999</v>
      </c>
      <c r="EH29">
        <f t="shared" si="66"/>
        <v>99999999</v>
      </c>
      <c r="EI29">
        <f t="shared" si="66"/>
        <v>99999999</v>
      </c>
      <c r="EJ29">
        <f t="shared" si="67"/>
        <v>99999999</v>
      </c>
      <c r="EK29">
        <f t="shared" si="67"/>
        <v>99999999</v>
      </c>
      <c r="EL29">
        <f t="shared" si="67"/>
        <v>99999999</v>
      </c>
      <c r="EM29">
        <f t="shared" si="67"/>
        <v>99999999</v>
      </c>
      <c r="EN29">
        <f t="shared" si="67"/>
        <v>99999999</v>
      </c>
      <c r="EO29">
        <f t="shared" si="67"/>
        <v>99999999</v>
      </c>
      <c r="EP29">
        <f t="shared" si="67"/>
        <v>99999999</v>
      </c>
      <c r="EQ29">
        <f t="shared" si="67"/>
        <v>99999999</v>
      </c>
      <c r="ER29">
        <f t="shared" si="67"/>
        <v>99999999</v>
      </c>
      <c r="ES29">
        <f t="shared" si="67"/>
        <v>99999999</v>
      </c>
      <c r="ET29">
        <f t="shared" si="68"/>
        <v>99999999</v>
      </c>
      <c r="EU29">
        <f t="shared" si="68"/>
        <v>99999999</v>
      </c>
      <c r="EV29">
        <f t="shared" si="68"/>
        <v>99999999</v>
      </c>
      <c r="EW29">
        <f t="shared" si="68"/>
        <v>99999999</v>
      </c>
      <c r="EX29">
        <f t="shared" si="68"/>
        <v>99999999</v>
      </c>
      <c r="EY29">
        <f t="shared" si="68"/>
        <v>99999999</v>
      </c>
      <c r="EZ29">
        <f t="shared" si="68"/>
        <v>99999999</v>
      </c>
      <c r="FA29">
        <f t="shared" si="68"/>
        <v>99999999</v>
      </c>
      <c r="FB29">
        <f t="shared" si="68"/>
        <v>99999999</v>
      </c>
      <c r="FC29">
        <f t="shared" si="68"/>
        <v>99999999</v>
      </c>
      <c r="FD29">
        <f t="shared" si="69"/>
        <v>99999999</v>
      </c>
      <c r="FE29">
        <f t="shared" si="69"/>
        <v>99999999</v>
      </c>
      <c r="FF29">
        <f t="shared" si="69"/>
        <v>99999999</v>
      </c>
      <c r="FG29">
        <f t="shared" si="69"/>
        <v>99999999</v>
      </c>
      <c r="FH29">
        <f t="shared" si="69"/>
        <v>99999999</v>
      </c>
      <c r="FI29">
        <f t="shared" si="69"/>
        <v>99999999</v>
      </c>
      <c r="FJ29">
        <f t="shared" si="69"/>
        <v>99999999</v>
      </c>
      <c r="FK29">
        <f t="shared" si="69"/>
        <v>99999999</v>
      </c>
      <c r="FL29">
        <f t="shared" si="69"/>
        <v>99999999</v>
      </c>
      <c r="FM29">
        <f t="shared" si="69"/>
        <v>99999999</v>
      </c>
      <c r="FN29">
        <f t="shared" si="70"/>
        <v>99999999</v>
      </c>
      <c r="FO29">
        <f t="shared" si="70"/>
        <v>99999999</v>
      </c>
      <c r="FP29">
        <f t="shared" si="70"/>
        <v>99999999</v>
      </c>
      <c r="FQ29">
        <f t="shared" si="70"/>
        <v>99999999</v>
      </c>
      <c r="FR29">
        <f t="shared" si="70"/>
        <v>99999999</v>
      </c>
      <c r="FS29">
        <f t="shared" si="70"/>
        <v>99999999</v>
      </c>
      <c r="FT29">
        <f t="shared" si="70"/>
        <v>99999999</v>
      </c>
      <c r="FU29">
        <f t="shared" si="70"/>
        <v>99999999</v>
      </c>
      <c r="FV29">
        <f t="shared" si="70"/>
        <v>99999999</v>
      </c>
      <c r="FW29">
        <f t="shared" si="70"/>
        <v>99999999</v>
      </c>
      <c r="FX29">
        <f t="shared" si="71"/>
        <v>99999999</v>
      </c>
      <c r="FY29">
        <f t="shared" si="71"/>
        <v>99999999</v>
      </c>
      <c r="FZ29">
        <f t="shared" si="71"/>
        <v>99999999</v>
      </c>
      <c r="GA29">
        <f t="shared" si="71"/>
        <v>99999999</v>
      </c>
      <c r="GB29">
        <f t="shared" si="71"/>
        <v>99999999</v>
      </c>
      <c r="GC29">
        <f t="shared" si="71"/>
        <v>99999999</v>
      </c>
      <c r="GD29">
        <f t="shared" si="71"/>
        <v>99999999</v>
      </c>
      <c r="GE29">
        <f t="shared" si="71"/>
        <v>99999999</v>
      </c>
      <c r="GF29">
        <f t="shared" si="71"/>
        <v>99999999</v>
      </c>
      <c r="GG29">
        <f t="shared" si="71"/>
        <v>99999999</v>
      </c>
      <c r="GH29">
        <f t="shared" si="72"/>
        <v>99999999</v>
      </c>
      <c r="GI29">
        <f t="shared" si="72"/>
        <v>99999999</v>
      </c>
      <c r="GJ29">
        <f t="shared" si="72"/>
        <v>99999999</v>
      </c>
      <c r="GK29">
        <f t="shared" si="72"/>
        <v>99999999</v>
      </c>
      <c r="GL29">
        <f t="shared" si="72"/>
        <v>99999999</v>
      </c>
      <c r="GM29">
        <f t="shared" si="72"/>
        <v>99999999</v>
      </c>
      <c r="GN29">
        <f t="shared" si="72"/>
        <v>99999999</v>
      </c>
      <c r="GO29">
        <f t="shared" si="72"/>
        <v>99999999</v>
      </c>
      <c r="GP29">
        <f t="shared" si="72"/>
        <v>99999999</v>
      </c>
      <c r="GQ29">
        <f t="shared" si="72"/>
        <v>99999999</v>
      </c>
      <c r="GR29">
        <f t="shared" si="73"/>
        <v>99999999</v>
      </c>
      <c r="GS29">
        <f t="shared" si="73"/>
        <v>99999999</v>
      </c>
      <c r="GT29">
        <f t="shared" si="73"/>
        <v>99999999</v>
      </c>
      <c r="GU29">
        <f t="shared" si="73"/>
        <v>99999999</v>
      </c>
      <c r="GV29">
        <f t="shared" si="73"/>
        <v>99999999</v>
      </c>
      <c r="GW29">
        <f t="shared" si="73"/>
        <v>99999999</v>
      </c>
      <c r="GX29">
        <f t="shared" si="73"/>
        <v>99999999</v>
      </c>
      <c r="GY29">
        <f t="shared" si="73"/>
        <v>99999999</v>
      </c>
      <c r="GZ29">
        <f t="shared" si="73"/>
        <v>99999999</v>
      </c>
      <c r="HA29">
        <f t="shared" si="73"/>
        <v>99999999</v>
      </c>
      <c r="HB29">
        <f t="shared" si="74"/>
        <v>99999999</v>
      </c>
      <c r="HC29">
        <f t="shared" si="74"/>
        <v>99999999</v>
      </c>
      <c r="HD29">
        <f t="shared" si="74"/>
        <v>99999999</v>
      </c>
      <c r="HE29">
        <f t="shared" si="74"/>
        <v>99999999</v>
      </c>
      <c r="HF29">
        <f t="shared" si="74"/>
        <v>99999999</v>
      </c>
      <c r="HG29">
        <f t="shared" si="74"/>
        <v>99999999</v>
      </c>
      <c r="HH29">
        <f t="shared" si="74"/>
        <v>99999999</v>
      </c>
      <c r="HI29">
        <f t="shared" si="74"/>
        <v>99999999</v>
      </c>
      <c r="HJ29">
        <f t="shared" si="74"/>
        <v>99999999</v>
      </c>
      <c r="HK29">
        <f t="shared" si="74"/>
        <v>99999999</v>
      </c>
      <c r="HL29">
        <f t="shared" si="75"/>
        <v>99999999</v>
      </c>
      <c r="HM29">
        <f t="shared" si="75"/>
        <v>99999999</v>
      </c>
      <c r="HN29">
        <f t="shared" si="75"/>
        <v>99999999</v>
      </c>
      <c r="HO29">
        <f t="shared" si="75"/>
        <v>99999999</v>
      </c>
      <c r="HP29">
        <f t="shared" si="75"/>
        <v>99999999</v>
      </c>
      <c r="HQ29">
        <f t="shared" si="75"/>
        <v>99999999</v>
      </c>
      <c r="HR29">
        <f t="shared" si="75"/>
        <v>99999999</v>
      </c>
      <c r="HS29">
        <f t="shared" si="75"/>
        <v>99999999</v>
      </c>
      <c r="HT29">
        <f t="shared" si="75"/>
        <v>99999999</v>
      </c>
      <c r="HU29">
        <f t="shared" si="75"/>
        <v>99999999</v>
      </c>
      <c r="HV29">
        <f t="shared" si="76"/>
        <v>99999999</v>
      </c>
      <c r="HW29">
        <f t="shared" si="76"/>
        <v>99999999</v>
      </c>
      <c r="HX29">
        <f t="shared" si="76"/>
        <v>99999999</v>
      </c>
      <c r="HY29">
        <f t="shared" si="76"/>
        <v>99999999</v>
      </c>
      <c r="HZ29">
        <f t="shared" si="76"/>
        <v>99999999</v>
      </c>
      <c r="IA29">
        <f t="shared" si="76"/>
        <v>99999999</v>
      </c>
      <c r="IB29">
        <f t="shared" si="76"/>
        <v>99999999</v>
      </c>
      <c r="IC29">
        <f t="shared" si="76"/>
        <v>99999999</v>
      </c>
      <c r="ID29">
        <f t="shared" si="76"/>
        <v>99999999</v>
      </c>
      <c r="IE29">
        <f t="shared" si="76"/>
        <v>99999999</v>
      </c>
      <c r="IF29">
        <f t="shared" si="77"/>
        <v>99999999</v>
      </c>
      <c r="IG29">
        <f t="shared" si="77"/>
        <v>99999999</v>
      </c>
      <c r="IH29">
        <f t="shared" si="77"/>
        <v>99999999</v>
      </c>
      <c r="II29">
        <f t="shared" si="77"/>
        <v>99999999</v>
      </c>
      <c r="IJ29">
        <f t="shared" si="77"/>
        <v>99999999</v>
      </c>
      <c r="IK29">
        <f t="shared" si="77"/>
        <v>99999999</v>
      </c>
      <c r="IL29">
        <f t="shared" si="77"/>
        <v>99999999</v>
      </c>
      <c r="IM29">
        <f t="shared" si="77"/>
        <v>99999999</v>
      </c>
      <c r="IN29">
        <f t="shared" si="77"/>
        <v>99999999</v>
      </c>
      <c r="IO29">
        <f t="shared" si="77"/>
        <v>99999999</v>
      </c>
      <c r="IP29">
        <f t="shared" si="78"/>
        <v>99999999</v>
      </c>
      <c r="IQ29">
        <f t="shared" si="78"/>
        <v>99999999</v>
      </c>
      <c r="IR29">
        <f t="shared" si="78"/>
        <v>99999999</v>
      </c>
      <c r="IS29">
        <f t="shared" si="78"/>
        <v>99999999</v>
      </c>
      <c r="IT29">
        <f t="shared" si="78"/>
        <v>99999999</v>
      </c>
      <c r="IU29">
        <f t="shared" si="78"/>
        <v>99999999</v>
      </c>
      <c r="IV29">
        <f t="shared" si="78"/>
        <v>99999999</v>
      </c>
      <c r="IW29">
        <f t="shared" si="78"/>
        <v>99999999</v>
      </c>
      <c r="IX29">
        <f t="shared" si="78"/>
        <v>99999999</v>
      </c>
      <c r="IY29">
        <f t="shared" si="78"/>
        <v>99999999</v>
      </c>
    </row>
    <row r="30" spans="1:259" x14ac:dyDescent="0.3">
      <c r="A30">
        <f>CAMBIOS!A30</f>
        <v>200</v>
      </c>
      <c r="B30">
        <f>IF(D30=1,CAMBIOS!P30*Valor_1+CAMBIOS!Q30*Valor_2+CAMBIOS!R30*Valor_3,IF(CAMBIOS!P30=1,Valor_1,Valor_2))</f>
        <v>5</v>
      </c>
      <c r="C30">
        <f>IF(D30=1,0,IF(CAMBIOS!R30=1,Valor_3,Valor_2))</f>
        <v>0</v>
      </c>
      <c r="D30">
        <f>CAMBIOS!P30+CAMBIOS!Q30+CAMBIOS!R30</f>
        <v>1</v>
      </c>
      <c r="E30">
        <f t="shared" si="0"/>
        <v>99999999</v>
      </c>
      <c r="F30">
        <f t="shared" si="1"/>
        <v>40</v>
      </c>
      <c r="G30">
        <f t="shared" si="2"/>
        <v>0</v>
      </c>
      <c r="H30">
        <f t="shared" si="3"/>
        <v>0</v>
      </c>
      <c r="J30">
        <f t="shared" si="54"/>
        <v>99999999</v>
      </c>
      <c r="K30">
        <f t="shared" si="54"/>
        <v>99999999</v>
      </c>
      <c r="L30">
        <f t="shared" si="54"/>
        <v>99999999</v>
      </c>
      <c r="M30">
        <f t="shared" si="54"/>
        <v>99999999</v>
      </c>
      <c r="N30">
        <f t="shared" si="54"/>
        <v>99999999</v>
      </c>
      <c r="O30">
        <f t="shared" si="54"/>
        <v>99999999</v>
      </c>
      <c r="P30">
        <f t="shared" si="54"/>
        <v>99999999</v>
      </c>
      <c r="Q30">
        <f t="shared" si="54"/>
        <v>99999999</v>
      </c>
      <c r="R30">
        <f t="shared" si="54"/>
        <v>99999999</v>
      </c>
      <c r="S30">
        <f t="shared" si="54"/>
        <v>99999999</v>
      </c>
      <c r="T30">
        <f t="shared" si="55"/>
        <v>99999999</v>
      </c>
      <c r="U30">
        <f t="shared" si="55"/>
        <v>99999999</v>
      </c>
      <c r="V30">
        <f t="shared" si="55"/>
        <v>99999999</v>
      </c>
      <c r="W30">
        <f t="shared" si="55"/>
        <v>99999999</v>
      </c>
      <c r="X30">
        <f t="shared" si="55"/>
        <v>99999999</v>
      </c>
      <c r="Y30">
        <f t="shared" si="55"/>
        <v>99999999</v>
      </c>
      <c r="Z30">
        <f t="shared" si="55"/>
        <v>99999999</v>
      </c>
      <c r="AA30">
        <f t="shared" si="55"/>
        <v>99999999</v>
      </c>
      <c r="AB30">
        <f t="shared" si="55"/>
        <v>99999999</v>
      </c>
      <c r="AC30">
        <f t="shared" si="55"/>
        <v>99999999</v>
      </c>
      <c r="AD30">
        <f t="shared" si="56"/>
        <v>99999999</v>
      </c>
      <c r="AE30">
        <f t="shared" si="56"/>
        <v>99999999</v>
      </c>
      <c r="AF30">
        <f t="shared" si="56"/>
        <v>99999999</v>
      </c>
      <c r="AG30">
        <f t="shared" si="56"/>
        <v>99999999</v>
      </c>
      <c r="AH30">
        <f t="shared" si="56"/>
        <v>99999999</v>
      </c>
      <c r="AI30">
        <f t="shared" si="56"/>
        <v>99999999</v>
      </c>
      <c r="AJ30">
        <f t="shared" si="56"/>
        <v>99999999</v>
      </c>
      <c r="AK30">
        <f t="shared" si="56"/>
        <v>99999999</v>
      </c>
      <c r="AL30">
        <f t="shared" si="56"/>
        <v>99999999</v>
      </c>
      <c r="AM30">
        <f t="shared" si="56"/>
        <v>99999999</v>
      </c>
      <c r="AN30">
        <f t="shared" si="57"/>
        <v>99999999</v>
      </c>
      <c r="AO30">
        <f t="shared" si="57"/>
        <v>99999999</v>
      </c>
      <c r="AP30">
        <f t="shared" si="57"/>
        <v>99999999</v>
      </c>
      <c r="AQ30">
        <f t="shared" si="57"/>
        <v>99999999</v>
      </c>
      <c r="AR30">
        <f t="shared" si="57"/>
        <v>99999999</v>
      </c>
      <c r="AS30">
        <f t="shared" si="57"/>
        <v>99999999</v>
      </c>
      <c r="AT30">
        <f t="shared" si="57"/>
        <v>99999999</v>
      </c>
      <c r="AU30">
        <f t="shared" si="57"/>
        <v>99999999</v>
      </c>
      <c r="AV30">
        <f t="shared" si="57"/>
        <v>99999999</v>
      </c>
      <c r="AW30">
        <f t="shared" si="57"/>
        <v>99999999</v>
      </c>
      <c r="AX30">
        <f t="shared" si="58"/>
        <v>99999999</v>
      </c>
      <c r="AY30">
        <f t="shared" si="58"/>
        <v>99999999</v>
      </c>
      <c r="AZ30">
        <f t="shared" si="58"/>
        <v>99999999</v>
      </c>
      <c r="BA30">
        <f t="shared" si="58"/>
        <v>99999999</v>
      </c>
      <c r="BB30">
        <f t="shared" si="58"/>
        <v>99999999</v>
      </c>
      <c r="BC30">
        <f t="shared" si="58"/>
        <v>99999999</v>
      </c>
      <c r="BD30">
        <f t="shared" si="58"/>
        <v>99999999</v>
      </c>
      <c r="BE30">
        <f t="shared" si="58"/>
        <v>99999999</v>
      </c>
      <c r="BF30">
        <f t="shared" si="58"/>
        <v>99999999</v>
      </c>
      <c r="BG30">
        <f t="shared" si="58"/>
        <v>99999999</v>
      </c>
      <c r="BH30">
        <f t="shared" si="59"/>
        <v>99999999</v>
      </c>
      <c r="BI30">
        <f t="shared" si="59"/>
        <v>99999999</v>
      </c>
      <c r="BJ30">
        <f t="shared" si="59"/>
        <v>99999999</v>
      </c>
      <c r="BK30">
        <f t="shared" si="59"/>
        <v>99999999</v>
      </c>
      <c r="BL30">
        <f t="shared" si="59"/>
        <v>99999999</v>
      </c>
      <c r="BM30">
        <f t="shared" si="59"/>
        <v>99999999</v>
      </c>
      <c r="BN30">
        <f t="shared" si="59"/>
        <v>99999999</v>
      </c>
      <c r="BO30">
        <f t="shared" si="59"/>
        <v>99999999</v>
      </c>
      <c r="BP30">
        <f t="shared" si="59"/>
        <v>99999999</v>
      </c>
      <c r="BQ30">
        <f t="shared" si="59"/>
        <v>99999999</v>
      </c>
      <c r="BR30">
        <f t="shared" si="60"/>
        <v>99999999</v>
      </c>
      <c r="BS30">
        <f t="shared" si="60"/>
        <v>99999999</v>
      </c>
      <c r="BT30">
        <f t="shared" si="60"/>
        <v>99999999</v>
      </c>
      <c r="BU30">
        <f t="shared" si="60"/>
        <v>99999999</v>
      </c>
      <c r="BV30">
        <f t="shared" si="60"/>
        <v>99999999</v>
      </c>
      <c r="BW30">
        <f t="shared" si="60"/>
        <v>99999999</v>
      </c>
      <c r="BX30">
        <f t="shared" si="60"/>
        <v>99999999</v>
      </c>
      <c r="BY30">
        <f t="shared" si="60"/>
        <v>99999999</v>
      </c>
      <c r="BZ30">
        <f t="shared" si="60"/>
        <v>99999999</v>
      </c>
      <c r="CA30">
        <f t="shared" si="60"/>
        <v>99999999</v>
      </c>
      <c r="CB30">
        <f t="shared" si="61"/>
        <v>99999999</v>
      </c>
      <c r="CC30">
        <f t="shared" si="61"/>
        <v>99999999</v>
      </c>
      <c r="CD30">
        <f t="shared" si="61"/>
        <v>99999999</v>
      </c>
      <c r="CE30">
        <f t="shared" si="61"/>
        <v>99999999</v>
      </c>
      <c r="CF30">
        <f t="shared" si="61"/>
        <v>99999999</v>
      </c>
      <c r="CG30">
        <f t="shared" si="61"/>
        <v>99999999</v>
      </c>
      <c r="CH30">
        <f t="shared" si="61"/>
        <v>99999999</v>
      </c>
      <c r="CI30">
        <f t="shared" si="61"/>
        <v>99999999</v>
      </c>
      <c r="CJ30">
        <f t="shared" si="61"/>
        <v>99999999</v>
      </c>
      <c r="CK30">
        <f t="shared" si="61"/>
        <v>99999999</v>
      </c>
      <c r="CL30">
        <f t="shared" si="62"/>
        <v>99999999</v>
      </c>
      <c r="CM30">
        <f t="shared" si="62"/>
        <v>99999999</v>
      </c>
      <c r="CN30">
        <f t="shared" si="62"/>
        <v>99999999</v>
      </c>
      <c r="CO30">
        <f t="shared" si="62"/>
        <v>99999999</v>
      </c>
      <c r="CP30">
        <f t="shared" si="62"/>
        <v>99999999</v>
      </c>
      <c r="CQ30">
        <f t="shared" si="62"/>
        <v>99999999</v>
      </c>
      <c r="CR30">
        <f t="shared" si="62"/>
        <v>99999999</v>
      </c>
      <c r="CS30">
        <f t="shared" si="62"/>
        <v>99999999</v>
      </c>
      <c r="CT30">
        <f t="shared" si="62"/>
        <v>99999999</v>
      </c>
      <c r="CU30">
        <f t="shared" si="62"/>
        <v>99999999</v>
      </c>
      <c r="CV30">
        <f t="shared" si="63"/>
        <v>99999999</v>
      </c>
      <c r="CW30">
        <f t="shared" si="63"/>
        <v>99999999</v>
      </c>
      <c r="CX30">
        <f t="shared" si="63"/>
        <v>99999999</v>
      </c>
      <c r="CY30">
        <f t="shared" si="63"/>
        <v>99999999</v>
      </c>
      <c r="CZ30">
        <f t="shared" si="63"/>
        <v>99999999</v>
      </c>
      <c r="DA30">
        <f t="shared" si="63"/>
        <v>99999999</v>
      </c>
      <c r="DB30">
        <f t="shared" si="63"/>
        <v>99999999</v>
      </c>
      <c r="DC30">
        <f t="shared" si="63"/>
        <v>99999999</v>
      </c>
      <c r="DD30">
        <f t="shared" si="63"/>
        <v>99999999</v>
      </c>
      <c r="DE30">
        <f t="shared" si="63"/>
        <v>99999999</v>
      </c>
      <c r="DF30">
        <f t="shared" si="64"/>
        <v>99999999</v>
      </c>
      <c r="DG30">
        <f t="shared" si="64"/>
        <v>99999999</v>
      </c>
      <c r="DH30">
        <f t="shared" si="64"/>
        <v>99999999</v>
      </c>
      <c r="DI30">
        <f t="shared" si="64"/>
        <v>99999999</v>
      </c>
      <c r="DJ30">
        <f t="shared" si="64"/>
        <v>99999999</v>
      </c>
      <c r="DK30">
        <f t="shared" si="64"/>
        <v>99999999</v>
      </c>
      <c r="DL30">
        <f t="shared" si="64"/>
        <v>99999999</v>
      </c>
      <c r="DM30">
        <f t="shared" si="64"/>
        <v>99999999</v>
      </c>
      <c r="DN30">
        <f t="shared" si="64"/>
        <v>99999999</v>
      </c>
      <c r="DO30">
        <f t="shared" si="64"/>
        <v>99999999</v>
      </c>
      <c r="DP30">
        <f t="shared" si="65"/>
        <v>99999999</v>
      </c>
      <c r="DQ30">
        <f t="shared" si="65"/>
        <v>99999999</v>
      </c>
      <c r="DR30">
        <f t="shared" si="65"/>
        <v>99999999</v>
      </c>
      <c r="DS30">
        <f t="shared" si="65"/>
        <v>99999999</v>
      </c>
      <c r="DT30">
        <f t="shared" si="65"/>
        <v>99999999</v>
      </c>
      <c r="DU30">
        <f t="shared" si="65"/>
        <v>99999999</v>
      </c>
      <c r="DV30">
        <f t="shared" si="65"/>
        <v>99999999</v>
      </c>
      <c r="DW30">
        <f t="shared" si="65"/>
        <v>99999999</v>
      </c>
      <c r="DX30">
        <f t="shared" si="65"/>
        <v>99999999</v>
      </c>
      <c r="DY30">
        <f t="shared" si="65"/>
        <v>99999999</v>
      </c>
      <c r="DZ30">
        <f t="shared" si="66"/>
        <v>99999999</v>
      </c>
      <c r="EA30">
        <f t="shared" si="66"/>
        <v>99999999</v>
      </c>
      <c r="EB30">
        <f t="shared" si="66"/>
        <v>99999999</v>
      </c>
      <c r="EC30">
        <f t="shared" si="66"/>
        <v>99999999</v>
      </c>
      <c r="ED30">
        <f t="shared" si="66"/>
        <v>99999999</v>
      </c>
      <c r="EE30">
        <f t="shared" si="66"/>
        <v>99999999</v>
      </c>
      <c r="EF30">
        <f t="shared" si="66"/>
        <v>99999999</v>
      </c>
      <c r="EG30">
        <f t="shared" si="66"/>
        <v>99999999</v>
      </c>
      <c r="EH30">
        <f t="shared" si="66"/>
        <v>99999999</v>
      </c>
      <c r="EI30">
        <f t="shared" si="66"/>
        <v>99999999</v>
      </c>
      <c r="EJ30">
        <f t="shared" si="67"/>
        <v>99999999</v>
      </c>
      <c r="EK30">
        <f t="shared" si="67"/>
        <v>99999999</v>
      </c>
      <c r="EL30">
        <f t="shared" si="67"/>
        <v>99999999</v>
      </c>
      <c r="EM30">
        <f t="shared" si="67"/>
        <v>99999999</v>
      </c>
      <c r="EN30">
        <f t="shared" si="67"/>
        <v>99999999</v>
      </c>
      <c r="EO30">
        <f t="shared" si="67"/>
        <v>99999999</v>
      </c>
      <c r="EP30">
        <f t="shared" si="67"/>
        <v>99999999</v>
      </c>
      <c r="EQ30">
        <f t="shared" si="67"/>
        <v>99999999</v>
      </c>
      <c r="ER30">
        <f t="shared" si="67"/>
        <v>99999999</v>
      </c>
      <c r="ES30">
        <f t="shared" si="67"/>
        <v>99999999</v>
      </c>
      <c r="ET30">
        <f t="shared" si="68"/>
        <v>99999999</v>
      </c>
      <c r="EU30">
        <f t="shared" si="68"/>
        <v>99999999</v>
      </c>
      <c r="EV30">
        <f t="shared" si="68"/>
        <v>99999999</v>
      </c>
      <c r="EW30">
        <f t="shared" si="68"/>
        <v>99999999</v>
      </c>
      <c r="EX30">
        <f t="shared" si="68"/>
        <v>99999999</v>
      </c>
      <c r="EY30">
        <f t="shared" si="68"/>
        <v>99999999</v>
      </c>
      <c r="EZ30">
        <f t="shared" si="68"/>
        <v>99999999</v>
      </c>
      <c r="FA30">
        <f t="shared" si="68"/>
        <v>99999999</v>
      </c>
      <c r="FB30">
        <f t="shared" si="68"/>
        <v>99999999</v>
      </c>
      <c r="FC30">
        <f t="shared" si="68"/>
        <v>99999999</v>
      </c>
      <c r="FD30">
        <f t="shared" si="69"/>
        <v>99999999</v>
      </c>
      <c r="FE30">
        <f t="shared" si="69"/>
        <v>99999999</v>
      </c>
      <c r="FF30">
        <f t="shared" si="69"/>
        <v>99999999</v>
      </c>
      <c r="FG30">
        <f t="shared" si="69"/>
        <v>99999999</v>
      </c>
      <c r="FH30">
        <f t="shared" si="69"/>
        <v>99999999</v>
      </c>
      <c r="FI30">
        <f t="shared" si="69"/>
        <v>99999999</v>
      </c>
      <c r="FJ30">
        <f t="shared" si="69"/>
        <v>99999999</v>
      </c>
      <c r="FK30">
        <f t="shared" si="69"/>
        <v>99999999</v>
      </c>
      <c r="FL30">
        <f t="shared" si="69"/>
        <v>99999999</v>
      </c>
      <c r="FM30">
        <f t="shared" si="69"/>
        <v>99999999</v>
      </c>
      <c r="FN30">
        <f t="shared" si="70"/>
        <v>99999999</v>
      </c>
      <c r="FO30">
        <f t="shared" si="70"/>
        <v>99999999</v>
      </c>
      <c r="FP30">
        <f t="shared" si="70"/>
        <v>99999999</v>
      </c>
      <c r="FQ30">
        <f t="shared" si="70"/>
        <v>99999999</v>
      </c>
      <c r="FR30">
        <f t="shared" si="70"/>
        <v>99999999</v>
      </c>
      <c r="FS30">
        <f t="shared" si="70"/>
        <v>99999999</v>
      </c>
      <c r="FT30">
        <f t="shared" si="70"/>
        <v>99999999</v>
      </c>
      <c r="FU30">
        <f t="shared" si="70"/>
        <v>99999999</v>
      </c>
      <c r="FV30">
        <f t="shared" si="70"/>
        <v>99999999</v>
      </c>
      <c r="FW30">
        <f t="shared" si="70"/>
        <v>99999999</v>
      </c>
      <c r="FX30">
        <f t="shared" si="71"/>
        <v>99999999</v>
      </c>
      <c r="FY30">
        <f t="shared" si="71"/>
        <v>99999999</v>
      </c>
      <c r="FZ30">
        <f t="shared" si="71"/>
        <v>99999999</v>
      </c>
      <c r="GA30">
        <f t="shared" si="71"/>
        <v>99999999</v>
      </c>
      <c r="GB30">
        <f t="shared" si="71"/>
        <v>99999999</v>
      </c>
      <c r="GC30">
        <f t="shared" si="71"/>
        <v>99999999</v>
      </c>
      <c r="GD30">
        <f t="shared" si="71"/>
        <v>99999999</v>
      </c>
      <c r="GE30">
        <f t="shared" si="71"/>
        <v>99999999</v>
      </c>
      <c r="GF30">
        <f t="shared" si="71"/>
        <v>99999999</v>
      </c>
      <c r="GG30">
        <f t="shared" si="71"/>
        <v>99999999</v>
      </c>
      <c r="GH30">
        <f t="shared" si="72"/>
        <v>99999999</v>
      </c>
      <c r="GI30">
        <f t="shared" si="72"/>
        <v>99999999</v>
      </c>
      <c r="GJ30">
        <f t="shared" si="72"/>
        <v>99999999</v>
      </c>
      <c r="GK30">
        <f t="shared" si="72"/>
        <v>99999999</v>
      </c>
      <c r="GL30">
        <f t="shared" si="72"/>
        <v>99999999</v>
      </c>
      <c r="GM30">
        <f t="shared" si="72"/>
        <v>99999999</v>
      </c>
      <c r="GN30">
        <f t="shared" si="72"/>
        <v>99999999</v>
      </c>
      <c r="GO30">
        <f t="shared" si="72"/>
        <v>99999999</v>
      </c>
      <c r="GP30">
        <f t="shared" si="72"/>
        <v>99999999</v>
      </c>
      <c r="GQ30">
        <f t="shared" si="72"/>
        <v>99999999</v>
      </c>
      <c r="GR30">
        <f t="shared" si="73"/>
        <v>99999999</v>
      </c>
      <c r="GS30">
        <f t="shared" si="73"/>
        <v>99999999</v>
      </c>
      <c r="GT30">
        <f t="shared" si="73"/>
        <v>99999999</v>
      </c>
      <c r="GU30">
        <f t="shared" si="73"/>
        <v>99999999</v>
      </c>
      <c r="GV30">
        <f t="shared" si="73"/>
        <v>99999999</v>
      </c>
      <c r="GW30">
        <f t="shared" si="73"/>
        <v>99999999</v>
      </c>
      <c r="GX30">
        <f t="shared" si="73"/>
        <v>99999999</v>
      </c>
      <c r="GY30">
        <f t="shared" si="73"/>
        <v>99999999</v>
      </c>
      <c r="GZ30">
        <f t="shared" si="73"/>
        <v>99999999</v>
      </c>
      <c r="HA30">
        <f t="shared" si="73"/>
        <v>99999999</v>
      </c>
      <c r="HB30">
        <f t="shared" si="74"/>
        <v>99999999</v>
      </c>
      <c r="HC30">
        <f t="shared" si="74"/>
        <v>99999999</v>
      </c>
      <c r="HD30">
        <f t="shared" si="74"/>
        <v>99999999</v>
      </c>
      <c r="HE30">
        <f t="shared" si="74"/>
        <v>99999999</v>
      </c>
      <c r="HF30">
        <f t="shared" si="74"/>
        <v>99999999</v>
      </c>
      <c r="HG30">
        <f t="shared" si="74"/>
        <v>99999999</v>
      </c>
      <c r="HH30">
        <f t="shared" si="74"/>
        <v>99999999</v>
      </c>
      <c r="HI30">
        <f t="shared" si="74"/>
        <v>99999999</v>
      </c>
      <c r="HJ30">
        <f t="shared" si="74"/>
        <v>99999999</v>
      </c>
      <c r="HK30">
        <f t="shared" si="74"/>
        <v>99999999</v>
      </c>
      <c r="HL30">
        <f t="shared" si="75"/>
        <v>99999999</v>
      </c>
      <c r="HM30">
        <f t="shared" si="75"/>
        <v>99999999</v>
      </c>
      <c r="HN30">
        <f t="shared" si="75"/>
        <v>99999999</v>
      </c>
      <c r="HO30">
        <f t="shared" si="75"/>
        <v>99999999</v>
      </c>
      <c r="HP30">
        <f t="shared" si="75"/>
        <v>99999999</v>
      </c>
      <c r="HQ30">
        <f t="shared" si="75"/>
        <v>99999999</v>
      </c>
      <c r="HR30">
        <f t="shared" si="75"/>
        <v>99999999</v>
      </c>
      <c r="HS30">
        <f t="shared" si="75"/>
        <v>99999999</v>
      </c>
      <c r="HT30">
        <f t="shared" si="75"/>
        <v>99999999</v>
      </c>
      <c r="HU30">
        <f t="shared" si="75"/>
        <v>99999999</v>
      </c>
      <c r="HV30">
        <f t="shared" si="76"/>
        <v>99999999</v>
      </c>
      <c r="HW30">
        <f t="shared" si="76"/>
        <v>99999999</v>
      </c>
      <c r="HX30">
        <f t="shared" si="76"/>
        <v>99999999</v>
      </c>
      <c r="HY30">
        <f t="shared" si="76"/>
        <v>99999999</v>
      </c>
      <c r="HZ30">
        <f t="shared" si="76"/>
        <v>99999999</v>
      </c>
      <c r="IA30">
        <f t="shared" si="76"/>
        <v>99999999</v>
      </c>
      <c r="IB30">
        <f t="shared" si="76"/>
        <v>99999999</v>
      </c>
      <c r="IC30">
        <f t="shared" si="76"/>
        <v>99999999</v>
      </c>
      <c r="ID30">
        <f t="shared" si="76"/>
        <v>99999999</v>
      </c>
      <c r="IE30">
        <f t="shared" si="76"/>
        <v>99999999</v>
      </c>
      <c r="IF30">
        <f t="shared" si="77"/>
        <v>99999999</v>
      </c>
      <c r="IG30">
        <f t="shared" si="77"/>
        <v>99999999</v>
      </c>
      <c r="IH30">
        <f t="shared" si="77"/>
        <v>99999999</v>
      </c>
      <c r="II30">
        <f t="shared" si="77"/>
        <v>99999999</v>
      </c>
      <c r="IJ30">
        <f t="shared" si="77"/>
        <v>99999999</v>
      </c>
      <c r="IK30">
        <f t="shared" si="77"/>
        <v>99999999</v>
      </c>
      <c r="IL30">
        <f t="shared" si="77"/>
        <v>99999999</v>
      </c>
      <c r="IM30">
        <f t="shared" si="77"/>
        <v>99999999</v>
      </c>
      <c r="IN30">
        <f t="shared" si="77"/>
        <v>99999999</v>
      </c>
      <c r="IO30">
        <f t="shared" si="77"/>
        <v>99999999</v>
      </c>
      <c r="IP30">
        <f t="shared" si="78"/>
        <v>99999999</v>
      </c>
      <c r="IQ30">
        <f t="shared" si="78"/>
        <v>99999999</v>
      </c>
      <c r="IR30">
        <f t="shared" si="78"/>
        <v>99999999</v>
      </c>
      <c r="IS30">
        <f t="shared" si="78"/>
        <v>99999999</v>
      </c>
      <c r="IT30">
        <f t="shared" si="78"/>
        <v>99999999</v>
      </c>
      <c r="IU30">
        <f t="shared" si="78"/>
        <v>99999999</v>
      </c>
      <c r="IV30">
        <f t="shared" si="78"/>
        <v>99999999</v>
      </c>
      <c r="IW30">
        <f t="shared" si="78"/>
        <v>99999999</v>
      </c>
      <c r="IX30">
        <f t="shared" si="78"/>
        <v>99999999</v>
      </c>
      <c r="IY30">
        <f t="shared" si="78"/>
        <v>99999999</v>
      </c>
    </row>
    <row r="31" spans="1:259" x14ac:dyDescent="0.3">
      <c r="A31">
        <f>CAMBIOS!A31</f>
        <v>200</v>
      </c>
      <c r="B31">
        <f>IF(D31=1,CAMBIOS!P31*Valor_1+CAMBIOS!Q31*Valor_2+CAMBIOS!R31*Valor_3,IF(CAMBIOS!P31=1,Valor_1,Valor_2))</f>
        <v>7</v>
      </c>
      <c r="C31">
        <f>IF(D31=1,0,IF(CAMBIOS!R31=1,Valor_3,Valor_2))</f>
        <v>0</v>
      </c>
      <c r="D31">
        <f>CAMBIOS!P31+CAMBIOS!Q31+CAMBIOS!R31</f>
        <v>1</v>
      </c>
      <c r="E31">
        <f t="shared" si="0"/>
        <v>99999999</v>
      </c>
      <c r="F31">
        <f t="shared" si="1"/>
        <v>28</v>
      </c>
      <c r="G31">
        <f t="shared" si="2"/>
        <v>0</v>
      </c>
      <c r="H31">
        <f t="shared" si="3"/>
        <v>4</v>
      </c>
      <c r="J31">
        <f t="shared" si="54"/>
        <v>99999999</v>
      </c>
      <c r="K31">
        <f t="shared" si="54"/>
        <v>99999999</v>
      </c>
      <c r="L31">
        <f t="shared" si="54"/>
        <v>99999999</v>
      </c>
      <c r="M31">
        <f t="shared" si="54"/>
        <v>99999999</v>
      </c>
      <c r="N31">
        <f t="shared" si="54"/>
        <v>99999999</v>
      </c>
      <c r="O31">
        <f t="shared" si="54"/>
        <v>99999999</v>
      </c>
      <c r="P31">
        <f t="shared" si="54"/>
        <v>99999999</v>
      </c>
      <c r="Q31">
        <f t="shared" si="54"/>
        <v>99999999</v>
      </c>
      <c r="R31">
        <f t="shared" si="54"/>
        <v>99999999</v>
      </c>
      <c r="S31">
        <f t="shared" si="54"/>
        <v>99999999</v>
      </c>
      <c r="T31">
        <f t="shared" si="55"/>
        <v>99999999</v>
      </c>
      <c r="U31">
        <f t="shared" si="55"/>
        <v>99999999</v>
      </c>
      <c r="V31">
        <f t="shared" si="55"/>
        <v>99999999</v>
      </c>
      <c r="W31">
        <f t="shared" si="55"/>
        <v>99999999</v>
      </c>
      <c r="X31">
        <f t="shared" si="55"/>
        <v>99999999</v>
      </c>
      <c r="Y31">
        <f t="shared" si="55"/>
        <v>99999999</v>
      </c>
      <c r="Z31">
        <f t="shared" si="55"/>
        <v>99999999</v>
      </c>
      <c r="AA31">
        <f t="shared" si="55"/>
        <v>99999999</v>
      </c>
      <c r="AB31">
        <f t="shared" si="55"/>
        <v>99999999</v>
      </c>
      <c r="AC31">
        <f t="shared" si="55"/>
        <v>99999999</v>
      </c>
      <c r="AD31">
        <f t="shared" si="56"/>
        <v>99999999</v>
      </c>
      <c r="AE31">
        <f t="shared" si="56"/>
        <v>99999999</v>
      </c>
      <c r="AF31">
        <f t="shared" si="56"/>
        <v>99999999</v>
      </c>
      <c r="AG31">
        <f t="shared" si="56"/>
        <v>99999999</v>
      </c>
      <c r="AH31">
        <f t="shared" si="56"/>
        <v>99999999</v>
      </c>
      <c r="AI31">
        <f t="shared" si="56"/>
        <v>99999999</v>
      </c>
      <c r="AJ31">
        <f t="shared" si="56"/>
        <v>99999999</v>
      </c>
      <c r="AK31">
        <f t="shared" si="56"/>
        <v>99999999</v>
      </c>
      <c r="AL31">
        <f t="shared" si="56"/>
        <v>99999999</v>
      </c>
      <c r="AM31">
        <f t="shared" si="56"/>
        <v>99999999</v>
      </c>
      <c r="AN31">
        <f t="shared" si="57"/>
        <v>99999999</v>
      </c>
      <c r="AO31">
        <f t="shared" si="57"/>
        <v>99999999</v>
      </c>
      <c r="AP31">
        <f t="shared" si="57"/>
        <v>99999999</v>
      </c>
      <c r="AQ31">
        <f t="shared" si="57"/>
        <v>99999999</v>
      </c>
      <c r="AR31">
        <f t="shared" si="57"/>
        <v>99999999</v>
      </c>
      <c r="AS31">
        <f t="shared" si="57"/>
        <v>99999999</v>
      </c>
      <c r="AT31">
        <f t="shared" si="57"/>
        <v>99999999</v>
      </c>
      <c r="AU31">
        <f t="shared" si="57"/>
        <v>99999999</v>
      </c>
      <c r="AV31">
        <f t="shared" si="57"/>
        <v>99999999</v>
      </c>
      <c r="AW31">
        <f t="shared" si="57"/>
        <v>99999999</v>
      </c>
      <c r="AX31">
        <f t="shared" si="58"/>
        <v>99999999</v>
      </c>
      <c r="AY31">
        <f t="shared" si="58"/>
        <v>99999999</v>
      </c>
      <c r="AZ31">
        <f t="shared" si="58"/>
        <v>99999999</v>
      </c>
      <c r="BA31">
        <f t="shared" si="58"/>
        <v>99999999</v>
      </c>
      <c r="BB31">
        <f t="shared" si="58"/>
        <v>99999999</v>
      </c>
      <c r="BC31">
        <f t="shared" si="58"/>
        <v>99999999</v>
      </c>
      <c r="BD31">
        <f t="shared" si="58"/>
        <v>99999999</v>
      </c>
      <c r="BE31">
        <f t="shared" si="58"/>
        <v>99999999</v>
      </c>
      <c r="BF31">
        <f t="shared" si="58"/>
        <v>99999999</v>
      </c>
      <c r="BG31">
        <f t="shared" si="58"/>
        <v>99999999</v>
      </c>
      <c r="BH31">
        <f t="shared" si="59"/>
        <v>99999999</v>
      </c>
      <c r="BI31">
        <f t="shared" si="59"/>
        <v>99999999</v>
      </c>
      <c r="BJ31">
        <f t="shared" si="59"/>
        <v>99999999</v>
      </c>
      <c r="BK31">
        <f t="shared" si="59"/>
        <v>99999999</v>
      </c>
      <c r="BL31">
        <f t="shared" si="59"/>
        <v>99999999</v>
      </c>
      <c r="BM31">
        <f t="shared" si="59"/>
        <v>99999999</v>
      </c>
      <c r="BN31">
        <f t="shared" si="59"/>
        <v>99999999</v>
      </c>
      <c r="BO31">
        <f t="shared" si="59"/>
        <v>99999999</v>
      </c>
      <c r="BP31">
        <f t="shared" si="59"/>
        <v>99999999</v>
      </c>
      <c r="BQ31">
        <f t="shared" si="59"/>
        <v>99999999</v>
      </c>
      <c r="BR31">
        <f t="shared" si="60"/>
        <v>99999999</v>
      </c>
      <c r="BS31">
        <f t="shared" si="60"/>
        <v>99999999</v>
      </c>
      <c r="BT31">
        <f t="shared" si="60"/>
        <v>99999999</v>
      </c>
      <c r="BU31">
        <f t="shared" si="60"/>
        <v>99999999</v>
      </c>
      <c r="BV31">
        <f t="shared" si="60"/>
        <v>99999999</v>
      </c>
      <c r="BW31">
        <f t="shared" si="60"/>
        <v>99999999</v>
      </c>
      <c r="BX31">
        <f t="shared" si="60"/>
        <v>99999999</v>
      </c>
      <c r="BY31">
        <f t="shared" si="60"/>
        <v>99999999</v>
      </c>
      <c r="BZ31">
        <f t="shared" si="60"/>
        <v>99999999</v>
      </c>
      <c r="CA31">
        <f t="shared" si="60"/>
        <v>99999999</v>
      </c>
      <c r="CB31">
        <f t="shared" si="61"/>
        <v>99999999</v>
      </c>
      <c r="CC31">
        <f t="shared" si="61"/>
        <v>99999999</v>
      </c>
      <c r="CD31">
        <f t="shared" si="61"/>
        <v>99999999</v>
      </c>
      <c r="CE31">
        <f t="shared" si="61"/>
        <v>99999999</v>
      </c>
      <c r="CF31">
        <f t="shared" si="61"/>
        <v>99999999</v>
      </c>
      <c r="CG31">
        <f t="shared" si="61"/>
        <v>99999999</v>
      </c>
      <c r="CH31">
        <f t="shared" si="61"/>
        <v>99999999</v>
      </c>
      <c r="CI31">
        <f t="shared" si="61"/>
        <v>99999999</v>
      </c>
      <c r="CJ31">
        <f t="shared" si="61"/>
        <v>99999999</v>
      </c>
      <c r="CK31">
        <f t="shared" si="61"/>
        <v>99999999</v>
      </c>
      <c r="CL31">
        <f t="shared" si="62"/>
        <v>99999999</v>
      </c>
      <c r="CM31">
        <f t="shared" si="62"/>
        <v>99999999</v>
      </c>
      <c r="CN31">
        <f t="shared" si="62"/>
        <v>99999999</v>
      </c>
      <c r="CO31">
        <f t="shared" si="62"/>
        <v>99999999</v>
      </c>
      <c r="CP31">
        <f t="shared" si="62"/>
        <v>99999999</v>
      </c>
      <c r="CQ31">
        <f t="shared" si="62"/>
        <v>99999999</v>
      </c>
      <c r="CR31">
        <f t="shared" si="62"/>
        <v>99999999</v>
      </c>
      <c r="CS31">
        <f t="shared" si="62"/>
        <v>99999999</v>
      </c>
      <c r="CT31">
        <f t="shared" si="62"/>
        <v>99999999</v>
      </c>
      <c r="CU31">
        <f t="shared" si="62"/>
        <v>99999999</v>
      </c>
      <c r="CV31">
        <f t="shared" si="63"/>
        <v>99999999</v>
      </c>
      <c r="CW31">
        <f t="shared" si="63"/>
        <v>99999999</v>
      </c>
      <c r="CX31">
        <f t="shared" si="63"/>
        <v>99999999</v>
      </c>
      <c r="CY31">
        <f t="shared" si="63"/>
        <v>99999999</v>
      </c>
      <c r="CZ31">
        <f t="shared" si="63"/>
        <v>99999999</v>
      </c>
      <c r="DA31">
        <f t="shared" si="63"/>
        <v>99999999</v>
      </c>
      <c r="DB31">
        <f t="shared" si="63"/>
        <v>99999999</v>
      </c>
      <c r="DC31">
        <f t="shared" si="63"/>
        <v>99999999</v>
      </c>
      <c r="DD31">
        <f t="shared" si="63"/>
        <v>99999999</v>
      </c>
      <c r="DE31">
        <f t="shared" si="63"/>
        <v>99999999</v>
      </c>
      <c r="DF31">
        <f t="shared" si="64"/>
        <v>99999999</v>
      </c>
      <c r="DG31">
        <f t="shared" si="64"/>
        <v>99999999</v>
      </c>
      <c r="DH31">
        <f t="shared" si="64"/>
        <v>99999999</v>
      </c>
      <c r="DI31">
        <f t="shared" si="64"/>
        <v>99999999</v>
      </c>
      <c r="DJ31">
        <f t="shared" si="64"/>
        <v>99999999</v>
      </c>
      <c r="DK31">
        <f t="shared" si="64"/>
        <v>99999999</v>
      </c>
      <c r="DL31">
        <f t="shared" si="64"/>
        <v>99999999</v>
      </c>
      <c r="DM31">
        <f t="shared" si="64"/>
        <v>99999999</v>
      </c>
      <c r="DN31">
        <f t="shared" si="64"/>
        <v>99999999</v>
      </c>
      <c r="DO31">
        <f t="shared" si="64"/>
        <v>99999999</v>
      </c>
      <c r="DP31">
        <f t="shared" si="65"/>
        <v>99999999</v>
      </c>
      <c r="DQ31">
        <f t="shared" si="65"/>
        <v>99999999</v>
      </c>
      <c r="DR31">
        <f t="shared" si="65"/>
        <v>99999999</v>
      </c>
      <c r="DS31">
        <f t="shared" si="65"/>
        <v>99999999</v>
      </c>
      <c r="DT31">
        <f t="shared" si="65"/>
        <v>99999999</v>
      </c>
      <c r="DU31">
        <f t="shared" si="65"/>
        <v>99999999</v>
      </c>
      <c r="DV31">
        <f t="shared" si="65"/>
        <v>99999999</v>
      </c>
      <c r="DW31">
        <f t="shared" si="65"/>
        <v>99999999</v>
      </c>
      <c r="DX31">
        <f t="shared" si="65"/>
        <v>99999999</v>
      </c>
      <c r="DY31">
        <f t="shared" si="65"/>
        <v>99999999</v>
      </c>
      <c r="DZ31">
        <f t="shared" si="66"/>
        <v>99999999</v>
      </c>
      <c r="EA31">
        <f t="shared" si="66"/>
        <v>99999999</v>
      </c>
      <c r="EB31">
        <f t="shared" si="66"/>
        <v>99999999</v>
      </c>
      <c r="EC31">
        <f t="shared" si="66"/>
        <v>99999999</v>
      </c>
      <c r="ED31">
        <f t="shared" si="66"/>
        <v>99999999</v>
      </c>
      <c r="EE31">
        <f t="shared" si="66"/>
        <v>99999999</v>
      </c>
      <c r="EF31">
        <f t="shared" si="66"/>
        <v>99999999</v>
      </c>
      <c r="EG31">
        <f t="shared" si="66"/>
        <v>99999999</v>
      </c>
      <c r="EH31">
        <f t="shared" si="66"/>
        <v>99999999</v>
      </c>
      <c r="EI31">
        <f t="shared" si="66"/>
        <v>99999999</v>
      </c>
      <c r="EJ31">
        <f t="shared" si="67"/>
        <v>99999999</v>
      </c>
      <c r="EK31">
        <f t="shared" si="67"/>
        <v>99999999</v>
      </c>
      <c r="EL31">
        <f t="shared" si="67"/>
        <v>99999999</v>
      </c>
      <c r="EM31">
        <f t="shared" si="67"/>
        <v>99999999</v>
      </c>
      <c r="EN31">
        <f t="shared" si="67"/>
        <v>99999999</v>
      </c>
      <c r="EO31">
        <f t="shared" si="67"/>
        <v>99999999</v>
      </c>
      <c r="EP31">
        <f t="shared" si="67"/>
        <v>99999999</v>
      </c>
      <c r="EQ31">
        <f t="shared" si="67"/>
        <v>99999999</v>
      </c>
      <c r="ER31">
        <f t="shared" si="67"/>
        <v>99999999</v>
      </c>
      <c r="ES31">
        <f t="shared" si="67"/>
        <v>99999999</v>
      </c>
      <c r="ET31">
        <f t="shared" si="68"/>
        <v>99999999</v>
      </c>
      <c r="EU31">
        <f t="shared" si="68"/>
        <v>99999999</v>
      </c>
      <c r="EV31">
        <f t="shared" si="68"/>
        <v>99999999</v>
      </c>
      <c r="EW31">
        <f t="shared" si="68"/>
        <v>99999999</v>
      </c>
      <c r="EX31">
        <f t="shared" si="68"/>
        <v>99999999</v>
      </c>
      <c r="EY31">
        <f t="shared" si="68"/>
        <v>99999999</v>
      </c>
      <c r="EZ31">
        <f t="shared" si="68"/>
        <v>99999999</v>
      </c>
      <c r="FA31">
        <f t="shared" si="68"/>
        <v>99999999</v>
      </c>
      <c r="FB31">
        <f t="shared" si="68"/>
        <v>99999999</v>
      </c>
      <c r="FC31">
        <f t="shared" si="68"/>
        <v>99999999</v>
      </c>
      <c r="FD31">
        <f t="shared" si="69"/>
        <v>99999999</v>
      </c>
      <c r="FE31">
        <f t="shared" si="69"/>
        <v>99999999</v>
      </c>
      <c r="FF31">
        <f t="shared" si="69"/>
        <v>99999999</v>
      </c>
      <c r="FG31">
        <f t="shared" si="69"/>
        <v>99999999</v>
      </c>
      <c r="FH31">
        <f t="shared" si="69"/>
        <v>99999999</v>
      </c>
      <c r="FI31">
        <f t="shared" si="69"/>
        <v>99999999</v>
      </c>
      <c r="FJ31">
        <f t="shared" si="69"/>
        <v>99999999</v>
      </c>
      <c r="FK31">
        <f t="shared" si="69"/>
        <v>99999999</v>
      </c>
      <c r="FL31">
        <f t="shared" si="69"/>
        <v>99999999</v>
      </c>
      <c r="FM31">
        <f t="shared" si="69"/>
        <v>99999999</v>
      </c>
      <c r="FN31">
        <f t="shared" si="70"/>
        <v>99999999</v>
      </c>
      <c r="FO31">
        <f t="shared" si="70"/>
        <v>99999999</v>
      </c>
      <c r="FP31">
        <f t="shared" si="70"/>
        <v>99999999</v>
      </c>
      <c r="FQ31">
        <f t="shared" si="70"/>
        <v>99999999</v>
      </c>
      <c r="FR31">
        <f t="shared" si="70"/>
        <v>99999999</v>
      </c>
      <c r="FS31">
        <f t="shared" si="70"/>
        <v>99999999</v>
      </c>
      <c r="FT31">
        <f t="shared" si="70"/>
        <v>99999999</v>
      </c>
      <c r="FU31">
        <f t="shared" si="70"/>
        <v>99999999</v>
      </c>
      <c r="FV31">
        <f t="shared" si="70"/>
        <v>99999999</v>
      </c>
      <c r="FW31">
        <f t="shared" si="70"/>
        <v>99999999</v>
      </c>
      <c r="FX31">
        <f t="shared" si="71"/>
        <v>99999999</v>
      </c>
      <c r="FY31">
        <f t="shared" si="71"/>
        <v>99999999</v>
      </c>
      <c r="FZ31">
        <f t="shared" si="71"/>
        <v>99999999</v>
      </c>
      <c r="GA31">
        <f t="shared" si="71"/>
        <v>99999999</v>
      </c>
      <c r="GB31">
        <f t="shared" si="71"/>
        <v>99999999</v>
      </c>
      <c r="GC31">
        <f t="shared" si="71"/>
        <v>99999999</v>
      </c>
      <c r="GD31">
        <f t="shared" si="71"/>
        <v>99999999</v>
      </c>
      <c r="GE31">
        <f t="shared" si="71"/>
        <v>99999999</v>
      </c>
      <c r="GF31">
        <f t="shared" si="71"/>
        <v>99999999</v>
      </c>
      <c r="GG31">
        <f t="shared" si="71"/>
        <v>99999999</v>
      </c>
      <c r="GH31">
        <f t="shared" si="72"/>
        <v>99999999</v>
      </c>
      <c r="GI31">
        <f t="shared" si="72"/>
        <v>99999999</v>
      </c>
      <c r="GJ31">
        <f t="shared" si="72"/>
        <v>99999999</v>
      </c>
      <c r="GK31">
        <f t="shared" si="72"/>
        <v>99999999</v>
      </c>
      <c r="GL31">
        <f t="shared" si="72"/>
        <v>99999999</v>
      </c>
      <c r="GM31">
        <f t="shared" si="72"/>
        <v>99999999</v>
      </c>
      <c r="GN31">
        <f t="shared" si="72"/>
        <v>99999999</v>
      </c>
      <c r="GO31">
        <f t="shared" si="72"/>
        <v>99999999</v>
      </c>
      <c r="GP31">
        <f t="shared" si="72"/>
        <v>99999999</v>
      </c>
      <c r="GQ31">
        <f t="shared" si="72"/>
        <v>99999999</v>
      </c>
      <c r="GR31">
        <f t="shared" si="73"/>
        <v>99999999</v>
      </c>
      <c r="GS31">
        <f t="shared" si="73"/>
        <v>99999999</v>
      </c>
      <c r="GT31">
        <f t="shared" si="73"/>
        <v>99999999</v>
      </c>
      <c r="GU31">
        <f t="shared" si="73"/>
        <v>99999999</v>
      </c>
      <c r="GV31">
        <f t="shared" si="73"/>
        <v>99999999</v>
      </c>
      <c r="GW31">
        <f t="shared" si="73"/>
        <v>99999999</v>
      </c>
      <c r="GX31">
        <f t="shared" si="73"/>
        <v>99999999</v>
      </c>
      <c r="GY31">
        <f t="shared" si="73"/>
        <v>99999999</v>
      </c>
      <c r="GZ31">
        <f t="shared" si="73"/>
        <v>99999999</v>
      </c>
      <c r="HA31">
        <f t="shared" si="73"/>
        <v>99999999</v>
      </c>
      <c r="HB31">
        <f t="shared" si="74"/>
        <v>99999999</v>
      </c>
      <c r="HC31">
        <f t="shared" si="74"/>
        <v>99999999</v>
      </c>
      <c r="HD31">
        <f t="shared" si="74"/>
        <v>99999999</v>
      </c>
      <c r="HE31">
        <f t="shared" si="74"/>
        <v>99999999</v>
      </c>
      <c r="HF31">
        <f t="shared" si="74"/>
        <v>99999999</v>
      </c>
      <c r="HG31">
        <f t="shared" si="74"/>
        <v>99999999</v>
      </c>
      <c r="HH31">
        <f t="shared" si="74"/>
        <v>99999999</v>
      </c>
      <c r="HI31">
        <f t="shared" si="74"/>
        <v>99999999</v>
      </c>
      <c r="HJ31">
        <f t="shared" si="74"/>
        <v>99999999</v>
      </c>
      <c r="HK31">
        <f t="shared" si="74"/>
        <v>99999999</v>
      </c>
      <c r="HL31">
        <f t="shared" si="75"/>
        <v>99999999</v>
      </c>
      <c r="HM31">
        <f t="shared" si="75"/>
        <v>99999999</v>
      </c>
      <c r="HN31">
        <f t="shared" si="75"/>
        <v>99999999</v>
      </c>
      <c r="HO31">
        <f t="shared" si="75"/>
        <v>99999999</v>
      </c>
      <c r="HP31">
        <f t="shared" si="75"/>
        <v>99999999</v>
      </c>
      <c r="HQ31">
        <f t="shared" si="75"/>
        <v>99999999</v>
      </c>
      <c r="HR31">
        <f t="shared" si="75"/>
        <v>99999999</v>
      </c>
      <c r="HS31">
        <f t="shared" si="75"/>
        <v>99999999</v>
      </c>
      <c r="HT31">
        <f t="shared" si="75"/>
        <v>99999999</v>
      </c>
      <c r="HU31">
        <f t="shared" si="75"/>
        <v>99999999</v>
      </c>
      <c r="HV31">
        <f t="shared" si="76"/>
        <v>99999999</v>
      </c>
      <c r="HW31">
        <f t="shared" si="76"/>
        <v>99999999</v>
      </c>
      <c r="HX31">
        <f t="shared" si="76"/>
        <v>99999999</v>
      </c>
      <c r="HY31">
        <f t="shared" si="76"/>
        <v>99999999</v>
      </c>
      <c r="HZ31">
        <f t="shared" si="76"/>
        <v>99999999</v>
      </c>
      <c r="IA31">
        <f t="shared" si="76"/>
        <v>99999999</v>
      </c>
      <c r="IB31">
        <f t="shared" si="76"/>
        <v>99999999</v>
      </c>
      <c r="IC31">
        <f t="shared" si="76"/>
        <v>99999999</v>
      </c>
      <c r="ID31">
        <f t="shared" si="76"/>
        <v>99999999</v>
      </c>
      <c r="IE31">
        <f t="shared" si="76"/>
        <v>99999999</v>
      </c>
      <c r="IF31">
        <f t="shared" si="77"/>
        <v>99999999</v>
      </c>
      <c r="IG31">
        <f t="shared" si="77"/>
        <v>99999999</v>
      </c>
      <c r="IH31">
        <f t="shared" si="77"/>
        <v>99999999</v>
      </c>
      <c r="II31">
        <f t="shared" si="77"/>
        <v>99999999</v>
      </c>
      <c r="IJ31">
        <f t="shared" si="77"/>
        <v>99999999</v>
      </c>
      <c r="IK31">
        <f t="shared" si="77"/>
        <v>99999999</v>
      </c>
      <c r="IL31">
        <f t="shared" si="77"/>
        <v>99999999</v>
      </c>
      <c r="IM31">
        <f t="shared" si="77"/>
        <v>99999999</v>
      </c>
      <c r="IN31">
        <f t="shared" si="77"/>
        <v>99999999</v>
      </c>
      <c r="IO31">
        <f t="shared" si="77"/>
        <v>99999999</v>
      </c>
      <c r="IP31">
        <f t="shared" si="78"/>
        <v>99999999</v>
      </c>
      <c r="IQ31">
        <f t="shared" si="78"/>
        <v>99999999</v>
      </c>
      <c r="IR31">
        <f t="shared" si="78"/>
        <v>99999999</v>
      </c>
      <c r="IS31">
        <f t="shared" si="78"/>
        <v>99999999</v>
      </c>
      <c r="IT31">
        <f t="shared" si="78"/>
        <v>99999999</v>
      </c>
      <c r="IU31">
        <f t="shared" si="78"/>
        <v>99999999</v>
      </c>
      <c r="IV31">
        <f t="shared" si="78"/>
        <v>99999999</v>
      </c>
      <c r="IW31">
        <f t="shared" si="78"/>
        <v>99999999</v>
      </c>
      <c r="IX31">
        <f t="shared" si="78"/>
        <v>99999999</v>
      </c>
      <c r="IY31">
        <f t="shared" si="78"/>
        <v>99999999</v>
      </c>
    </row>
    <row r="32" spans="1:259" x14ac:dyDescent="0.3">
      <c r="A32">
        <f>CAMBIOS!A32</f>
        <v>200</v>
      </c>
      <c r="B32">
        <f>IF(D32=1,CAMBIOS!P32*Valor_1+CAMBIOS!Q32*Valor_2+CAMBIOS!R32*Valor_3,IF(CAMBIOS!P32=1,Valor_1,Valor_2))</f>
        <v>3</v>
      </c>
      <c r="C32">
        <f>IF(D32=1,0,IF(CAMBIOS!R32=1,Valor_3,Valor_2))</f>
        <v>5</v>
      </c>
      <c r="D32">
        <f>CAMBIOS!P32+CAMBIOS!Q32+CAMBIOS!R32</f>
        <v>2</v>
      </c>
      <c r="E32">
        <f t="shared" si="0"/>
        <v>9934</v>
      </c>
      <c r="F32">
        <f t="shared" si="1"/>
        <v>65</v>
      </c>
      <c r="G32">
        <f t="shared" si="2"/>
        <v>1</v>
      </c>
      <c r="H32">
        <f t="shared" si="3"/>
        <v>0</v>
      </c>
      <c r="J32">
        <f t="shared" si="54"/>
        <v>209960</v>
      </c>
      <c r="K32">
        <f t="shared" si="54"/>
        <v>409960</v>
      </c>
      <c r="L32">
        <f t="shared" si="54"/>
        <v>109959</v>
      </c>
      <c r="M32">
        <f t="shared" si="54"/>
        <v>309959</v>
      </c>
      <c r="N32">
        <f t="shared" si="54"/>
        <v>9958</v>
      </c>
      <c r="O32">
        <f t="shared" si="54"/>
        <v>209958</v>
      </c>
      <c r="P32">
        <f t="shared" si="54"/>
        <v>409958</v>
      </c>
      <c r="Q32">
        <f t="shared" si="54"/>
        <v>109957</v>
      </c>
      <c r="R32">
        <f t="shared" si="54"/>
        <v>309957</v>
      </c>
      <c r="S32">
        <f t="shared" si="54"/>
        <v>9956</v>
      </c>
      <c r="T32">
        <f t="shared" si="55"/>
        <v>209956</v>
      </c>
      <c r="U32">
        <f t="shared" si="55"/>
        <v>409956</v>
      </c>
      <c r="V32">
        <f t="shared" si="55"/>
        <v>109955</v>
      </c>
      <c r="W32">
        <f t="shared" si="55"/>
        <v>309955</v>
      </c>
      <c r="X32">
        <f t="shared" si="55"/>
        <v>9954</v>
      </c>
      <c r="Y32">
        <f t="shared" si="55"/>
        <v>209954</v>
      </c>
      <c r="Z32">
        <f t="shared" si="55"/>
        <v>409954</v>
      </c>
      <c r="AA32">
        <f t="shared" si="55"/>
        <v>109953</v>
      </c>
      <c r="AB32">
        <f t="shared" si="55"/>
        <v>309953</v>
      </c>
      <c r="AC32">
        <f t="shared" si="55"/>
        <v>9952</v>
      </c>
      <c r="AD32">
        <f t="shared" si="56"/>
        <v>209952</v>
      </c>
      <c r="AE32">
        <f t="shared" si="56"/>
        <v>409952</v>
      </c>
      <c r="AF32">
        <f t="shared" si="56"/>
        <v>109951</v>
      </c>
      <c r="AG32">
        <f t="shared" si="56"/>
        <v>309951</v>
      </c>
      <c r="AH32">
        <f t="shared" si="56"/>
        <v>9950</v>
      </c>
      <c r="AI32">
        <f t="shared" si="56"/>
        <v>209950</v>
      </c>
      <c r="AJ32">
        <f t="shared" si="56"/>
        <v>409950</v>
      </c>
      <c r="AK32">
        <f t="shared" si="56"/>
        <v>109949</v>
      </c>
      <c r="AL32">
        <f t="shared" si="56"/>
        <v>309949</v>
      </c>
      <c r="AM32">
        <f t="shared" si="56"/>
        <v>9948</v>
      </c>
      <c r="AN32">
        <f t="shared" si="57"/>
        <v>209948</v>
      </c>
      <c r="AO32">
        <f t="shared" si="57"/>
        <v>409948</v>
      </c>
      <c r="AP32">
        <f t="shared" si="57"/>
        <v>109947</v>
      </c>
      <c r="AQ32">
        <f t="shared" si="57"/>
        <v>309947</v>
      </c>
      <c r="AR32">
        <f t="shared" si="57"/>
        <v>9946</v>
      </c>
      <c r="AS32">
        <f t="shared" si="57"/>
        <v>209946</v>
      </c>
      <c r="AT32">
        <f t="shared" si="57"/>
        <v>409946</v>
      </c>
      <c r="AU32">
        <f t="shared" si="57"/>
        <v>109945</v>
      </c>
      <c r="AV32">
        <f t="shared" si="57"/>
        <v>309945</v>
      </c>
      <c r="AW32">
        <f t="shared" si="57"/>
        <v>9944</v>
      </c>
      <c r="AX32">
        <f t="shared" si="58"/>
        <v>209944</v>
      </c>
      <c r="AY32">
        <f t="shared" si="58"/>
        <v>409944</v>
      </c>
      <c r="AZ32">
        <f t="shared" si="58"/>
        <v>109943</v>
      </c>
      <c r="BA32">
        <f t="shared" si="58"/>
        <v>309943</v>
      </c>
      <c r="BB32">
        <f t="shared" si="58"/>
        <v>9942</v>
      </c>
      <c r="BC32">
        <f t="shared" si="58"/>
        <v>209942</v>
      </c>
      <c r="BD32">
        <f t="shared" si="58"/>
        <v>409942</v>
      </c>
      <c r="BE32">
        <f t="shared" si="58"/>
        <v>109941</v>
      </c>
      <c r="BF32">
        <f t="shared" si="58"/>
        <v>309941</v>
      </c>
      <c r="BG32">
        <f t="shared" si="58"/>
        <v>9940</v>
      </c>
      <c r="BH32">
        <f t="shared" si="59"/>
        <v>209940</v>
      </c>
      <c r="BI32">
        <f t="shared" si="59"/>
        <v>409940</v>
      </c>
      <c r="BJ32">
        <f t="shared" si="59"/>
        <v>109939</v>
      </c>
      <c r="BK32">
        <f t="shared" si="59"/>
        <v>309939</v>
      </c>
      <c r="BL32">
        <f t="shared" si="59"/>
        <v>9938</v>
      </c>
      <c r="BM32">
        <f t="shared" si="59"/>
        <v>209938</v>
      </c>
      <c r="BN32">
        <f t="shared" si="59"/>
        <v>409938</v>
      </c>
      <c r="BO32">
        <f t="shared" si="59"/>
        <v>109937</v>
      </c>
      <c r="BP32">
        <f t="shared" si="59"/>
        <v>309937</v>
      </c>
      <c r="BQ32">
        <f t="shared" si="59"/>
        <v>9936</v>
      </c>
      <c r="BR32">
        <f t="shared" si="60"/>
        <v>209936</v>
      </c>
      <c r="BS32">
        <f t="shared" si="60"/>
        <v>409936</v>
      </c>
      <c r="BT32">
        <f t="shared" si="60"/>
        <v>109935</v>
      </c>
      <c r="BU32">
        <f t="shared" si="60"/>
        <v>309935</v>
      </c>
      <c r="BV32">
        <f t="shared" si="60"/>
        <v>9934</v>
      </c>
      <c r="BW32">
        <f t="shared" si="60"/>
        <v>99999999</v>
      </c>
      <c r="BX32">
        <f t="shared" si="60"/>
        <v>99999999</v>
      </c>
      <c r="BY32">
        <f t="shared" si="60"/>
        <v>99999999</v>
      </c>
      <c r="BZ32">
        <f t="shared" si="60"/>
        <v>99999999</v>
      </c>
      <c r="CA32">
        <f t="shared" si="60"/>
        <v>99999999</v>
      </c>
      <c r="CB32">
        <f t="shared" si="61"/>
        <v>99999999</v>
      </c>
      <c r="CC32">
        <f t="shared" si="61"/>
        <v>99999999</v>
      </c>
      <c r="CD32">
        <f t="shared" si="61"/>
        <v>99999999</v>
      </c>
      <c r="CE32">
        <f t="shared" si="61"/>
        <v>99999999</v>
      </c>
      <c r="CF32">
        <f t="shared" si="61"/>
        <v>99999999</v>
      </c>
      <c r="CG32">
        <f t="shared" si="61"/>
        <v>99999999</v>
      </c>
      <c r="CH32">
        <f t="shared" si="61"/>
        <v>99999999</v>
      </c>
      <c r="CI32">
        <f t="shared" si="61"/>
        <v>99999999</v>
      </c>
      <c r="CJ32">
        <f t="shared" si="61"/>
        <v>99999999</v>
      </c>
      <c r="CK32">
        <f t="shared" si="61"/>
        <v>99999999</v>
      </c>
      <c r="CL32">
        <f t="shared" si="62"/>
        <v>99999999</v>
      </c>
      <c r="CM32">
        <f t="shared" si="62"/>
        <v>99999999</v>
      </c>
      <c r="CN32">
        <f t="shared" si="62"/>
        <v>99999999</v>
      </c>
      <c r="CO32">
        <f t="shared" si="62"/>
        <v>99999999</v>
      </c>
      <c r="CP32">
        <f t="shared" si="62"/>
        <v>99999999</v>
      </c>
      <c r="CQ32">
        <f t="shared" si="62"/>
        <v>99999999</v>
      </c>
      <c r="CR32">
        <f t="shared" si="62"/>
        <v>99999999</v>
      </c>
      <c r="CS32">
        <f t="shared" si="62"/>
        <v>99999999</v>
      </c>
      <c r="CT32">
        <f t="shared" si="62"/>
        <v>99999999</v>
      </c>
      <c r="CU32">
        <f t="shared" si="62"/>
        <v>99999999</v>
      </c>
      <c r="CV32">
        <f t="shared" si="63"/>
        <v>99999999</v>
      </c>
      <c r="CW32">
        <f t="shared" si="63"/>
        <v>99999999</v>
      </c>
      <c r="CX32">
        <f t="shared" si="63"/>
        <v>99999999</v>
      </c>
      <c r="CY32">
        <f t="shared" si="63"/>
        <v>99999999</v>
      </c>
      <c r="CZ32">
        <f t="shared" si="63"/>
        <v>99999999</v>
      </c>
      <c r="DA32">
        <f t="shared" si="63"/>
        <v>99999999</v>
      </c>
      <c r="DB32">
        <f t="shared" si="63"/>
        <v>99999999</v>
      </c>
      <c r="DC32">
        <f t="shared" si="63"/>
        <v>99999999</v>
      </c>
      <c r="DD32">
        <f t="shared" si="63"/>
        <v>99999999</v>
      </c>
      <c r="DE32">
        <f t="shared" si="63"/>
        <v>99999999</v>
      </c>
      <c r="DF32">
        <f t="shared" si="64"/>
        <v>99999999</v>
      </c>
      <c r="DG32">
        <f t="shared" si="64"/>
        <v>99999999</v>
      </c>
      <c r="DH32">
        <f t="shared" si="64"/>
        <v>99999999</v>
      </c>
      <c r="DI32">
        <f t="shared" si="64"/>
        <v>99999999</v>
      </c>
      <c r="DJ32">
        <f t="shared" si="64"/>
        <v>99999999</v>
      </c>
      <c r="DK32">
        <f t="shared" si="64"/>
        <v>99999999</v>
      </c>
      <c r="DL32">
        <f t="shared" si="64"/>
        <v>99999999</v>
      </c>
      <c r="DM32">
        <f t="shared" si="64"/>
        <v>99999999</v>
      </c>
      <c r="DN32">
        <f t="shared" si="64"/>
        <v>99999999</v>
      </c>
      <c r="DO32">
        <f t="shared" si="64"/>
        <v>99999999</v>
      </c>
      <c r="DP32">
        <f t="shared" si="65"/>
        <v>99999999</v>
      </c>
      <c r="DQ32">
        <f t="shared" si="65"/>
        <v>99999999</v>
      </c>
      <c r="DR32">
        <f t="shared" si="65"/>
        <v>99999999</v>
      </c>
      <c r="DS32">
        <f t="shared" si="65"/>
        <v>99999999</v>
      </c>
      <c r="DT32">
        <f t="shared" si="65"/>
        <v>99999999</v>
      </c>
      <c r="DU32">
        <f t="shared" si="65"/>
        <v>99999999</v>
      </c>
      <c r="DV32">
        <f t="shared" si="65"/>
        <v>99999999</v>
      </c>
      <c r="DW32">
        <f t="shared" si="65"/>
        <v>99999999</v>
      </c>
      <c r="DX32">
        <f t="shared" si="65"/>
        <v>99999999</v>
      </c>
      <c r="DY32">
        <f t="shared" si="65"/>
        <v>99999999</v>
      </c>
      <c r="DZ32">
        <f t="shared" si="66"/>
        <v>99999999</v>
      </c>
      <c r="EA32">
        <f t="shared" si="66"/>
        <v>99999999</v>
      </c>
      <c r="EB32">
        <f t="shared" si="66"/>
        <v>99999999</v>
      </c>
      <c r="EC32">
        <f t="shared" si="66"/>
        <v>99999999</v>
      </c>
      <c r="ED32">
        <f t="shared" si="66"/>
        <v>99999999</v>
      </c>
      <c r="EE32">
        <f t="shared" si="66"/>
        <v>99999999</v>
      </c>
      <c r="EF32">
        <f t="shared" si="66"/>
        <v>99999999</v>
      </c>
      <c r="EG32">
        <f t="shared" si="66"/>
        <v>99999999</v>
      </c>
      <c r="EH32">
        <f t="shared" si="66"/>
        <v>99999999</v>
      </c>
      <c r="EI32">
        <f t="shared" si="66"/>
        <v>99999999</v>
      </c>
      <c r="EJ32">
        <f t="shared" si="67"/>
        <v>99999999</v>
      </c>
      <c r="EK32">
        <f t="shared" si="67"/>
        <v>99999999</v>
      </c>
      <c r="EL32">
        <f t="shared" si="67"/>
        <v>99999999</v>
      </c>
      <c r="EM32">
        <f t="shared" si="67"/>
        <v>99999999</v>
      </c>
      <c r="EN32">
        <f t="shared" si="67"/>
        <v>99999999</v>
      </c>
      <c r="EO32">
        <f t="shared" si="67"/>
        <v>99999999</v>
      </c>
      <c r="EP32">
        <f t="shared" si="67"/>
        <v>99999999</v>
      </c>
      <c r="EQ32">
        <f t="shared" si="67"/>
        <v>99999999</v>
      </c>
      <c r="ER32">
        <f t="shared" si="67"/>
        <v>99999999</v>
      </c>
      <c r="ES32">
        <f t="shared" si="67"/>
        <v>99999999</v>
      </c>
      <c r="ET32">
        <f t="shared" si="68"/>
        <v>99999999</v>
      </c>
      <c r="EU32">
        <f t="shared" si="68"/>
        <v>99999999</v>
      </c>
      <c r="EV32">
        <f t="shared" si="68"/>
        <v>99999999</v>
      </c>
      <c r="EW32">
        <f t="shared" si="68"/>
        <v>99999999</v>
      </c>
      <c r="EX32">
        <f t="shared" si="68"/>
        <v>99999999</v>
      </c>
      <c r="EY32">
        <f t="shared" si="68"/>
        <v>99999999</v>
      </c>
      <c r="EZ32">
        <f t="shared" si="68"/>
        <v>99999999</v>
      </c>
      <c r="FA32">
        <f t="shared" si="68"/>
        <v>99999999</v>
      </c>
      <c r="FB32">
        <f t="shared" si="68"/>
        <v>99999999</v>
      </c>
      <c r="FC32">
        <f t="shared" si="68"/>
        <v>99999999</v>
      </c>
      <c r="FD32">
        <f t="shared" si="69"/>
        <v>99999999</v>
      </c>
      <c r="FE32">
        <f t="shared" si="69"/>
        <v>99999999</v>
      </c>
      <c r="FF32">
        <f t="shared" si="69"/>
        <v>99999999</v>
      </c>
      <c r="FG32">
        <f t="shared" si="69"/>
        <v>99999999</v>
      </c>
      <c r="FH32">
        <f t="shared" si="69"/>
        <v>99999999</v>
      </c>
      <c r="FI32">
        <f t="shared" si="69"/>
        <v>99999999</v>
      </c>
      <c r="FJ32">
        <f t="shared" si="69"/>
        <v>99999999</v>
      </c>
      <c r="FK32">
        <f t="shared" si="69"/>
        <v>99999999</v>
      </c>
      <c r="FL32">
        <f t="shared" si="69"/>
        <v>99999999</v>
      </c>
      <c r="FM32">
        <f t="shared" si="69"/>
        <v>99999999</v>
      </c>
      <c r="FN32">
        <f t="shared" si="70"/>
        <v>99999999</v>
      </c>
      <c r="FO32">
        <f t="shared" si="70"/>
        <v>99999999</v>
      </c>
      <c r="FP32">
        <f t="shared" si="70"/>
        <v>99999999</v>
      </c>
      <c r="FQ32">
        <f t="shared" si="70"/>
        <v>99999999</v>
      </c>
      <c r="FR32">
        <f t="shared" si="70"/>
        <v>99999999</v>
      </c>
      <c r="FS32">
        <f t="shared" si="70"/>
        <v>99999999</v>
      </c>
      <c r="FT32">
        <f t="shared" si="70"/>
        <v>99999999</v>
      </c>
      <c r="FU32">
        <f t="shared" si="70"/>
        <v>99999999</v>
      </c>
      <c r="FV32">
        <f t="shared" si="70"/>
        <v>99999999</v>
      </c>
      <c r="FW32">
        <f t="shared" si="70"/>
        <v>99999999</v>
      </c>
      <c r="FX32">
        <f t="shared" si="71"/>
        <v>99999999</v>
      </c>
      <c r="FY32">
        <f t="shared" si="71"/>
        <v>99999999</v>
      </c>
      <c r="FZ32">
        <f t="shared" si="71"/>
        <v>99999999</v>
      </c>
      <c r="GA32">
        <f t="shared" si="71"/>
        <v>99999999</v>
      </c>
      <c r="GB32">
        <f t="shared" si="71"/>
        <v>99999999</v>
      </c>
      <c r="GC32">
        <f t="shared" si="71"/>
        <v>99999999</v>
      </c>
      <c r="GD32">
        <f t="shared" si="71"/>
        <v>99999999</v>
      </c>
      <c r="GE32">
        <f t="shared" si="71"/>
        <v>99999999</v>
      </c>
      <c r="GF32">
        <f t="shared" si="71"/>
        <v>99999999</v>
      </c>
      <c r="GG32">
        <f t="shared" si="71"/>
        <v>99999999</v>
      </c>
      <c r="GH32">
        <f t="shared" si="72"/>
        <v>99999999</v>
      </c>
      <c r="GI32">
        <f t="shared" si="72"/>
        <v>99999999</v>
      </c>
      <c r="GJ32">
        <f t="shared" si="72"/>
        <v>99999999</v>
      </c>
      <c r="GK32">
        <f t="shared" si="72"/>
        <v>99999999</v>
      </c>
      <c r="GL32">
        <f t="shared" si="72"/>
        <v>99999999</v>
      </c>
      <c r="GM32">
        <f t="shared" si="72"/>
        <v>99999999</v>
      </c>
      <c r="GN32">
        <f t="shared" si="72"/>
        <v>99999999</v>
      </c>
      <c r="GO32">
        <f t="shared" si="72"/>
        <v>99999999</v>
      </c>
      <c r="GP32">
        <f t="shared" si="72"/>
        <v>99999999</v>
      </c>
      <c r="GQ32">
        <f t="shared" si="72"/>
        <v>99999999</v>
      </c>
      <c r="GR32">
        <f t="shared" si="73"/>
        <v>99999999</v>
      </c>
      <c r="GS32">
        <f t="shared" si="73"/>
        <v>99999999</v>
      </c>
      <c r="GT32">
        <f t="shared" si="73"/>
        <v>99999999</v>
      </c>
      <c r="GU32">
        <f t="shared" si="73"/>
        <v>99999999</v>
      </c>
      <c r="GV32">
        <f t="shared" si="73"/>
        <v>99999999</v>
      </c>
      <c r="GW32">
        <f t="shared" si="73"/>
        <v>99999999</v>
      </c>
      <c r="GX32">
        <f t="shared" si="73"/>
        <v>99999999</v>
      </c>
      <c r="GY32">
        <f t="shared" si="73"/>
        <v>99999999</v>
      </c>
      <c r="GZ32">
        <f t="shared" si="73"/>
        <v>99999999</v>
      </c>
      <c r="HA32">
        <f t="shared" si="73"/>
        <v>99999999</v>
      </c>
      <c r="HB32">
        <f t="shared" si="74"/>
        <v>99999999</v>
      </c>
      <c r="HC32">
        <f t="shared" si="74"/>
        <v>99999999</v>
      </c>
      <c r="HD32">
        <f t="shared" si="74"/>
        <v>99999999</v>
      </c>
      <c r="HE32">
        <f t="shared" si="74"/>
        <v>99999999</v>
      </c>
      <c r="HF32">
        <f t="shared" si="74"/>
        <v>99999999</v>
      </c>
      <c r="HG32">
        <f t="shared" si="74"/>
        <v>99999999</v>
      </c>
      <c r="HH32">
        <f t="shared" si="74"/>
        <v>99999999</v>
      </c>
      <c r="HI32">
        <f t="shared" si="74"/>
        <v>99999999</v>
      </c>
      <c r="HJ32">
        <f t="shared" si="74"/>
        <v>99999999</v>
      </c>
      <c r="HK32">
        <f t="shared" si="74"/>
        <v>99999999</v>
      </c>
      <c r="HL32">
        <f t="shared" si="75"/>
        <v>99999999</v>
      </c>
      <c r="HM32">
        <f t="shared" si="75"/>
        <v>99999999</v>
      </c>
      <c r="HN32">
        <f t="shared" si="75"/>
        <v>99999999</v>
      </c>
      <c r="HO32">
        <f t="shared" si="75"/>
        <v>99999999</v>
      </c>
      <c r="HP32">
        <f t="shared" si="75"/>
        <v>99999999</v>
      </c>
      <c r="HQ32">
        <f t="shared" si="75"/>
        <v>99999999</v>
      </c>
      <c r="HR32">
        <f t="shared" si="75"/>
        <v>99999999</v>
      </c>
      <c r="HS32">
        <f t="shared" si="75"/>
        <v>99999999</v>
      </c>
      <c r="HT32">
        <f t="shared" si="75"/>
        <v>99999999</v>
      </c>
      <c r="HU32">
        <f t="shared" si="75"/>
        <v>99999999</v>
      </c>
      <c r="HV32">
        <f t="shared" si="76"/>
        <v>99999999</v>
      </c>
      <c r="HW32">
        <f t="shared" si="76"/>
        <v>99999999</v>
      </c>
      <c r="HX32">
        <f t="shared" si="76"/>
        <v>99999999</v>
      </c>
      <c r="HY32">
        <f t="shared" si="76"/>
        <v>99999999</v>
      </c>
      <c r="HZ32">
        <f t="shared" si="76"/>
        <v>99999999</v>
      </c>
      <c r="IA32">
        <f t="shared" si="76"/>
        <v>99999999</v>
      </c>
      <c r="IB32">
        <f t="shared" si="76"/>
        <v>99999999</v>
      </c>
      <c r="IC32">
        <f t="shared" si="76"/>
        <v>99999999</v>
      </c>
      <c r="ID32">
        <f t="shared" si="76"/>
        <v>99999999</v>
      </c>
      <c r="IE32">
        <f t="shared" si="76"/>
        <v>99999999</v>
      </c>
      <c r="IF32">
        <f t="shared" si="77"/>
        <v>99999999</v>
      </c>
      <c r="IG32">
        <f t="shared" si="77"/>
        <v>99999999</v>
      </c>
      <c r="IH32">
        <f t="shared" si="77"/>
        <v>99999999</v>
      </c>
      <c r="II32">
        <f t="shared" si="77"/>
        <v>99999999</v>
      </c>
      <c r="IJ32">
        <f t="shared" si="77"/>
        <v>99999999</v>
      </c>
      <c r="IK32">
        <f t="shared" si="77"/>
        <v>99999999</v>
      </c>
      <c r="IL32">
        <f t="shared" si="77"/>
        <v>99999999</v>
      </c>
      <c r="IM32">
        <f t="shared" si="77"/>
        <v>99999999</v>
      </c>
      <c r="IN32">
        <f t="shared" si="77"/>
        <v>99999999</v>
      </c>
      <c r="IO32">
        <f t="shared" si="77"/>
        <v>99999999</v>
      </c>
      <c r="IP32">
        <f t="shared" si="78"/>
        <v>99999999</v>
      </c>
      <c r="IQ32">
        <f t="shared" si="78"/>
        <v>99999999</v>
      </c>
      <c r="IR32">
        <f t="shared" si="78"/>
        <v>99999999</v>
      </c>
      <c r="IS32">
        <f t="shared" si="78"/>
        <v>99999999</v>
      </c>
      <c r="IT32">
        <f t="shared" si="78"/>
        <v>99999999</v>
      </c>
      <c r="IU32">
        <f t="shared" si="78"/>
        <v>99999999</v>
      </c>
      <c r="IV32">
        <f t="shared" si="78"/>
        <v>99999999</v>
      </c>
      <c r="IW32">
        <f t="shared" si="78"/>
        <v>99999999</v>
      </c>
      <c r="IX32">
        <f t="shared" si="78"/>
        <v>99999999</v>
      </c>
      <c r="IY32">
        <f t="shared" si="78"/>
        <v>99999999</v>
      </c>
    </row>
    <row r="33" spans="1:259" x14ac:dyDescent="0.3">
      <c r="A33">
        <f>CAMBIOS!A33</f>
        <v>200</v>
      </c>
      <c r="B33">
        <f>IF(D33=1,CAMBIOS!P33*Valor_1+CAMBIOS!Q33*Valor_2+CAMBIOS!R33*Valor_3,IF(CAMBIOS!P33=1,Valor_1,Valor_2))</f>
        <v>3</v>
      </c>
      <c r="C33">
        <f>IF(D33=1,0,IF(CAMBIOS!R33=1,Valor_3,Valor_2))</f>
        <v>7</v>
      </c>
      <c r="D33">
        <f>CAMBIOS!P33+CAMBIOS!Q33+CAMBIOS!R33</f>
        <v>2</v>
      </c>
      <c r="E33">
        <f t="shared" si="0"/>
        <v>9936</v>
      </c>
      <c r="F33">
        <f t="shared" si="1"/>
        <v>62</v>
      </c>
      <c r="G33">
        <f t="shared" si="2"/>
        <v>2</v>
      </c>
      <c r="H33">
        <f t="shared" si="3"/>
        <v>0</v>
      </c>
      <c r="J33">
        <f t="shared" si="54"/>
        <v>109971</v>
      </c>
      <c r="K33">
        <f t="shared" si="54"/>
        <v>509971</v>
      </c>
      <c r="L33">
        <f t="shared" si="54"/>
        <v>209970</v>
      </c>
      <c r="M33">
        <f t="shared" si="54"/>
        <v>609970</v>
      </c>
      <c r="N33">
        <f t="shared" si="54"/>
        <v>309969</v>
      </c>
      <c r="O33">
        <f t="shared" si="54"/>
        <v>9968</v>
      </c>
      <c r="P33">
        <f t="shared" si="54"/>
        <v>409968</v>
      </c>
      <c r="Q33">
        <f t="shared" si="54"/>
        <v>109967</v>
      </c>
      <c r="R33">
        <f t="shared" si="54"/>
        <v>509967</v>
      </c>
      <c r="S33">
        <f t="shared" si="54"/>
        <v>209966</v>
      </c>
      <c r="T33">
        <f t="shared" si="55"/>
        <v>609966</v>
      </c>
      <c r="U33">
        <f t="shared" si="55"/>
        <v>309965</v>
      </c>
      <c r="V33">
        <f t="shared" si="55"/>
        <v>9964</v>
      </c>
      <c r="W33">
        <f t="shared" si="55"/>
        <v>409964</v>
      </c>
      <c r="X33">
        <f t="shared" si="55"/>
        <v>109963</v>
      </c>
      <c r="Y33">
        <f t="shared" si="55"/>
        <v>509963</v>
      </c>
      <c r="Z33">
        <f t="shared" si="55"/>
        <v>209962</v>
      </c>
      <c r="AA33">
        <f t="shared" si="55"/>
        <v>609962</v>
      </c>
      <c r="AB33">
        <f t="shared" si="55"/>
        <v>309961</v>
      </c>
      <c r="AC33">
        <f t="shared" si="55"/>
        <v>9960</v>
      </c>
      <c r="AD33">
        <f t="shared" si="56"/>
        <v>409960</v>
      </c>
      <c r="AE33">
        <f t="shared" si="56"/>
        <v>109959</v>
      </c>
      <c r="AF33">
        <f t="shared" si="56"/>
        <v>509959</v>
      </c>
      <c r="AG33">
        <f t="shared" si="56"/>
        <v>209958</v>
      </c>
      <c r="AH33">
        <f t="shared" si="56"/>
        <v>609958</v>
      </c>
      <c r="AI33">
        <f t="shared" si="56"/>
        <v>309957</v>
      </c>
      <c r="AJ33">
        <f t="shared" si="56"/>
        <v>9956</v>
      </c>
      <c r="AK33">
        <f t="shared" si="56"/>
        <v>409956</v>
      </c>
      <c r="AL33">
        <f t="shared" si="56"/>
        <v>109955</v>
      </c>
      <c r="AM33">
        <f t="shared" si="56"/>
        <v>509955</v>
      </c>
      <c r="AN33">
        <f t="shared" si="57"/>
        <v>209954</v>
      </c>
      <c r="AO33">
        <f t="shared" si="57"/>
        <v>609954</v>
      </c>
      <c r="AP33">
        <f t="shared" si="57"/>
        <v>309953</v>
      </c>
      <c r="AQ33">
        <f t="shared" si="57"/>
        <v>9952</v>
      </c>
      <c r="AR33">
        <f t="shared" si="57"/>
        <v>409952</v>
      </c>
      <c r="AS33">
        <f t="shared" si="57"/>
        <v>109951</v>
      </c>
      <c r="AT33">
        <f t="shared" si="57"/>
        <v>509951</v>
      </c>
      <c r="AU33">
        <f t="shared" si="57"/>
        <v>209950</v>
      </c>
      <c r="AV33">
        <f t="shared" si="57"/>
        <v>609950</v>
      </c>
      <c r="AW33">
        <f t="shared" si="57"/>
        <v>309949</v>
      </c>
      <c r="AX33">
        <f t="shared" si="58"/>
        <v>9948</v>
      </c>
      <c r="AY33">
        <f t="shared" si="58"/>
        <v>409948</v>
      </c>
      <c r="AZ33">
        <f t="shared" si="58"/>
        <v>109947</v>
      </c>
      <c r="BA33">
        <f t="shared" si="58"/>
        <v>509947</v>
      </c>
      <c r="BB33">
        <f t="shared" si="58"/>
        <v>209946</v>
      </c>
      <c r="BC33">
        <f t="shared" si="58"/>
        <v>609946</v>
      </c>
      <c r="BD33">
        <f t="shared" si="58"/>
        <v>309945</v>
      </c>
      <c r="BE33">
        <f t="shared" si="58"/>
        <v>9944</v>
      </c>
      <c r="BF33">
        <f t="shared" si="58"/>
        <v>409944</v>
      </c>
      <c r="BG33">
        <f t="shared" si="58"/>
        <v>109943</v>
      </c>
      <c r="BH33">
        <f t="shared" si="59"/>
        <v>509943</v>
      </c>
      <c r="BI33">
        <f t="shared" si="59"/>
        <v>209942</v>
      </c>
      <c r="BJ33">
        <f t="shared" si="59"/>
        <v>609942</v>
      </c>
      <c r="BK33">
        <f t="shared" si="59"/>
        <v>309941</v>
      </c>
      <c r="BL33">
        <f t="shared" si="59"/>
        <v>9940</v>
      </c>
      <c r="BM33">
        <f t="shared" si="59"/>
        <v>409940</v>
      </c>
      <c r="BN33">
        <f t="shared" si="59"/>
        <v>109939</v>
      </c>
      <c r="BO33">
        <f t="shared" si="59"/>
        <v>509939</v>
      </c>
      <c r="BP33">
        <f t="shared" si="59"/>
        <v>209938</v>
      </c>
      <c r="BQ33">
        <f t="shared" si="59"/>
        <v>609938</v>
      </c>
      <c r="BR33">
        <f t="shared" si="60"/>
        <v>309937</v>
      </c>
      <c r="BS33">
        <f t="shared" si="60"/>
        <v>9936</v>
      </c>
      <c r="BT33">
        <f t="shared" si="60"/>
        <v>409936</v>
      </c>
      <c r="BU33">
        <f t="shared" si="60"/>
        <v>109935</v>
      </c>
      <c r="BV33">
        <f t="shared" si="60"/>
        <v>99999999</v>
      </c>
      <c r="BW33">
        <f t="shared" si="60"/>
        <v>99999999</v>
      </c>
      <c r="BX33">
        <f t="shared" si="60"/>
        <v>99999999</v>
      </c>
      <c r="BY33">
        <f t="shared" si="60"/>
        <v>99999999</v>
      </c>
      <c r="BZ33">
        <f t="shared" si="60"/>
        <v>99999999</v>
      </c>
      <c r="CA33">
        <f t="shared" si="60"/>
        <v>99999999</v>
      </c>
      <c r="CB33">
        <f t="shared" si="61"/>
        <v>99999999</v>
      </c>
      <c r="CC33">
        <f t="shared" si="61"/>
        <v>99999999</v>
      </c>
      <c r="CD33">
        <f t="shared" si="61"/>
        <v>99999999</v>
      </c>
      <c r="CE33">
        <f t="shared" si="61"/>
        <v>99999999</v>
      </c>
      <c r="CF33">
        <f t="shared" si="61"/>
        <v>99999999</v>
      </c>
      <c r="CG33">
        <f t="shared" si="61"/>
        <v>99999999</v>
      </c>
      <c r="CH33">
        <f t="shared" si="61"/>
        <v>99999999</v>
      </c>
      <c r="CI33">
        <f t="shared" si="61"/>
        <v>99999999</v>
      </c>
      <c r="CJ33">
        <f t="shared" si="61"/>
        <v>99999999</v>
      </c>
      <c r="CK33">
        <f t="shared" si="61"/>
        <v>99999999</v>
      </c>
      <c r="CL33">
        <f t="shared" si="62"/>
        <v>99999999</v>
      </c>
      <c r="CM33">
        <f t="shared" si="62"/>
        <v>99999999</v>
      </c>
      <c r="CN33">
        <f t="shared" si="62"/>
        <v>99999999</v>
      </c>
      <c r="CO33">
        <f t="shared" si="62"/>
        <v>99999999</v>
      </c>
      <c r="CP33">
        <f t="shared" si="62"/>
        <v>99999999</v>
      </c>
      <c r="CQ33">
        <f t="shared" si="62"/>
        <v>99999999</v>
      </c>
      <c r="CR33">
        <f t="shared" si="62"/>
        <v>99999999</v>
      </c>
      <c r="CS33">
        <f t="shared" si="62"/>
        <v>99999999</v>
      </c>
      <c r="CT33">
        <f t="shared" si="62"/>
        <v>99999999</v>
      </c>
      <c r="CU33">
        <f t="shared" si="62"/>
        <v>99999999</v>
      </c>
      <c r="CV33">
        <f t="shared" si="63"/>
        <v>99999999</v>
      </c>
      <c r="CW33">
        <f t="shared" si="63"/>
        <v>99999999</v>
      </c>
      <c r="CX33">
        <f t="shared" si="63"/>
        <v>99999999</v>
      </c>
      <c r="CY33">
        <f t="shared" si="63"/>
        <v>99999999</v>
      </c>
      <c r="CZ33">
        <f t="shared" si="63"/>
        <v>99999999</v>
      </c>
      <c r="DA33">
        <f t="shared" si="63"/>
        <v>99999999</v>
      </c>
      <c r="DB33">
        <f t="shared" si="63"/>
        <v>99999999</v>
      </c>
      <c r="DC33">
        <f t="shared" si="63"/>
        <v>99999999</v>
      </c>
      <c r="DD33">
        <f t="shared" si="63"/>
        <v>99999999</v>
      </c>
      <c r="DE33">
        <f t="shared" si="63"/>
        <v>99999999</v>
      </c>
      <c r="DF33">
        <f t="shared" si="64"/>
        <v>99999999</v>
      </c>
      <c r="DG33">
        <f t="shared" si="64"/>
        <v>99999999</v>
      </c>
      <c r="DH33">
        <f t="shared" si="64"/>
        <v>99999999</v>
      </c>
      <c r="DI33">
        <f t="shared" si="64"/>
        <v>99999999</v>
      </c>
      <c r="DJ33">
        <f t="shared" si="64"/>
        <v>99999999</v>
      </c>
      <c r="DK33">
        <f t="shared" si="64"/>
        <v>99999999</v>
      </c>
      <c r="DL33">
        <f t="shared" si="64"/>
        <v>99999999</v>
      </c>
      <c r="DM33">
        <f t="shared" si="64"/>
        <v>99999999</v>
      </c>
      <c r="DN33">
        <f t="shared" si="64"/>
        <v>99999999</v>
      </c>
      <c r="DO33">
        <f t="shared" si="64"/>
        <v>99999999</v>
      </c>
      <c r="DP33">
        <f t="shared" si="65"/>
        <v>99999999</v>
      </c>
      <c r="DQ33">
        <f t="shared" si="65"/>
        <v>99999999</v>
      </c>
      <c r="DR33">
        <f t="shared" si="65"/>
        <v>99999999</v>
      </c>
      <c r="DS33">
        <f t="shared" si="65"/>
        <v>99999999</v>
      </c>
      <c r="DT33">
        <f t="shared" si="65"/>
        <v>99999999</v>
      </c>
      <c r="DU33">
        <f t="shared" si="65"/>
        <v>99999999</v>
      </c>
      <c r="DV33">
        <f t="shared" si="65"/>
        <v>99999999</v>
      </c>
      <c r="DW33">
        <f t="shared" si="65"/>
        <v>99999999</v>
      </c>
      <c r="DX33">
        <f t="shared" si="65"/>
        <v>99999999</v>
      </c>
      <c r="DY33">
        <f t="shared" si="65"/>
        <v>99999999</v>
      </c>
      <c r="DZ33">
        <f t="shared" si="66"/>
        <v>99999999</v>
      </c>
      <c r="EA33">
        <f t="shared" si="66"/>
        <v>99999999</v>
      </c>
      <c r="EB33">
        <f t="shared" si="66"/>
        <v>99999999</v>
      </c>
      <c r="EC33">
        <f t="shared" si="66"/>
        <v>99999999</v>
      </c>
      <c r="ED33">
        <f t="shared" si="66"/>
        <v>99999999</v>
      </c>
      <c r="EE33">
        <f t="shared" si="66"/>
        <v>99999999</v>
      </c>
      <c r="EF33">
        <f t="shared" si="66"/>
        <v>99999999</v>
      </c>
      <c r="EG33">
        <f t="shared" si="66"/>
        <v>99999999</v>
      </c>
      <c r="EH33">
        <f t="shared" si="66"/>
        <v>99999999</v>
      </c>
      <c r="EI33">
        <f t="shared" si="66"/>
        <v>99999999</v>
      </c>
      <c r="EJ33">
        <f t="shared" si="67"/>
        <v>99999999</v>
      </c>
      <c r="EK33">
        <f t="shared" si="67"/>
        <v>99999999</v>
      </c>
      <c r="EL33">
        <f t="shared" si="67"/>
        <v>99999999</v>
      </c>
      <c r="EM33">
        <f t="shared" si="67"/>
        <v>99999999</v>
      </c>
      <c r="EN33">
        <f t="shared" si="67"/>
        <v>99999999</v>
      </c>
      <c r="EO33">
        <f t="shared" si="67"/>
        <v>99999999</v>
      </c>
      <c r="EP33">
        <f t="shared" si="67"/>
        <v>99999999</v>
      </c>
      <c r="EQ33">
        <f t="shared" si="67"/>
        <v>99999999</v>
      </c>
      <c r="ER33">
        <f t="shared" si="67"/>
        <v>99999999</v>
      </c>
      <c r="ES33">
        <f t="shared" si="67"/>
        <v>99999999</v>
      </c>
      <c r="ET33">
        <f t="shared" si="68"/>
        <v>99999999</v>
      </c>
      <c r="EU33">
        <f t="shared" si="68"/>
        <v>99999999</v>
      </c>
      <c r="EV33">
        <f t="shared" si="68"/>
        <v>99999999</v>
      </c>
      <c r="EW33">
        <f t="shared" si="68"/>
        <v>99999999</v>
      </c>
      <c r="EX33">
        <f t="shared" si="68"/>
        <v>99999999</v>
      </c>
      <c r="EY33">
        <f t="shared" si="68"/>
        <v>99999999</v>
      </c>
      <c r="EZ33">
        <f t="shared" si="68"/>
        <v>99999999</v>
      </c>
      <c r="FA33">
        <f t="shared" si="68"/>
        <v>99999999</v>
      </c>
      <c r="FB33">
        <f t="shared" si="68"/>
        <v>99999999</v>
      </c>
      <c r="FC33">
        <f t="shared" si="68"/>
        <v>99999999</v>
      </c>
      <c r="FD33">
        <f t="shared" si="69"/>
        <v>99999999</v>
      </c>
      <c r="FE33">
        <f t="shared" si="69"/>
        <v>99999999</v>
      </c>
      <c r="FF33">
        <f t="shared" si="69"/>
        <v>99999999</v>
      </c>
      <c r="FG33">
        <f t="shared" si="69"/>
        <v>99999999</v>
      </c>
      <c r="FH33">
        <f t="shared" si="69"/>
        <v>99999999</v>
      </c>
      <c r="FI33">
        <f t="shared" si="69"/>
        <v>99999999</v>
      </c>
      <c r="FJ33">
        <f t="shared" si="69"/>
        <v>99999999</v>
      </c>
      <c r="FK33">
        <f t="shared" si="69"/>
        <v>99999999</v>
      </c>
      <c r="FL33">
        <f t="shared" si="69"/>
        <v>99999999</v>
      </c>
      <c r="FM33">
        <f t="shared" si="69"/>
        <v>99999999</v>
      </c>
      <c r="FN33">
        <f t="shared" si="70"/>
        <v>99999999</v>
      </c>
      <c r="FO33">
        <f t="shared" si="70"/>
        <v>99999999</v>
      </c>
      <c r="FP33">
        <f t="shared" si="70"/>
        <v>99999999</v>
      </c>
      <c r="FQ33">
        <f t="shared" si="70"/>
        <v>99999999</v>
      </c>
      <c r="FR33">
        <f t="shared" si="70"/>
        <v>99999999</v>
      </c>
      <c r="FS33">
        <f t="shared" si="70"/>
        <v>99999999</v>
      </c>
      <c r="FT33">
        <f t="shared" si="70"/>
        <v>99999999</v>
      </c>
      <c r="FU33">
        <f t="shared" si="70"/>
        <v>99999999</v>
      </c>
      <c r="FV33">
        <f t="shared" si="70"/>
        <v>99999999</v>
      </c>
      <c r="FW33">
        <f t="shared" si="70"/>
        <v>99999999</v>
      </c>
      <c r="FX33">
        <f t="shared" si="71"/>
        <v>99999999</v>
      </c>
      <c r="FY33">
        <f t="shared" si="71"/>
        <v>99999999</v>
      </c>
      <c r="FZ33">
        <f t="shared" si="71"/>
        <v>99999999</v>
      </c>
      <c r="GA33">
        <f t="shared" si="71"/>
        <v>99999999</v>
      </c>
      <c r="GB33">
        <f t="shared" si="71"/>
        <v>99999999</v>
      </c>
      <c r="GC33">
        <f t="shared" si="71"/>
        <v>99999999</v>
      </c>
      <c r="GD33">
        <f t="shared" si="71"/>
        <v>99999999</v>
      </c>
      <c r="GE33">
        <f t="shared" si="71"/>
        <v>99999999</v>
      </c>
      <c r="GF33">
        <f t="shared" si="71"/>
        <v>99999999</v>
      </c>
      <c r="GG33">
        <f t="shared" si="71"/>
        <v>99999999</v>
      </c>
      <c r="GH33">
        <f t="shared" si="72"/>
        <v>99999999</v>
      </c>
      <c r="GI33">
        <f t="shared" si="72"/>
        <v>99999999</v>
      </c>
      <c r="GJ33">
        <f t="shared" si="72"/>
        <v>99999999</v>
      </c>
      <c r="GK33">
        <f t="shared" si="72"/>
        <v>99999999</v>
      </c>
      <c r="GL33">
        <f t="shared" si="72"/>
        <v>99999999</v>
      </c>
      <c r="GM33">
        <f t="shared" si="72"/>
        <v>99999999</v>
      </c>
      <c r="GN33">
        <f t="shared" si="72"/>
        <v>99999999</v>
      </c>
      <c r="GO33">
        <f t="shared" si="72"/>
        <v>99999999</v>
      </c>
      <c r="GP33">
        <f t="shared" si="72"/>
        <v>99999999</v>
      </c>
      <c r="GQ33">
        <f t="shared" si="72"/>
        <v>99999999</v>
      </c>
      <c r="GR33">
        <f t="shared" si="73"/>
        <v>99999999</v>
      </c>
      <c r="GS33">
        <f t="shared" si="73"/>
        <v>99999999</v>
      </c>
      <c r="GT33">
        <f t="shared" si="73"/>
        <v>99999999</v>
      </c>
      <c r="GU33">
        <f t="shared" si="73"/>
        <v>99999999</v>
      </c>
      <c r="GV33">
        <f t="shared" si="73"/>
        <v>99999999</v>
      </c>
      <c r="GW33">
        <f t="shared" si="73"/>
        <v>99999999</v>
      </c>
      <c r="GX33">
        <f t="shared" si="73"/>
        <v>99999999</v>
      </c>
      <c r="GY33">
        <f t="shared" si="73"/>
        <v>99999999</v>
      </c>
      <c r="GZ33">
        <f t="shared" si="73"/>
        <v>99999999</v>
      </c>
      <c r="HA33">
        <f t="shared" si="73"/>
        <v>99999999</v>
      </c>
      <c r="HB33">
        <f t="shared" si="74"/>
        <v>99999999</v>
      </c>
      <c r="HC33">
        <f t="shared" si="74"/>
        <v>99999999</v>
      </c>
      <c r="HD33">
        <f t="shared" si="74"/>
        <v>99999999</v>
      </c>
      <c r="HE33">
        <f t="shared" si="74"/>
        <v>99999999</v>
      </c>
      <c r="HF33">
        <f t="shared" si="74"/>
        <v>99999999</v>
      </c>
      <c r="HG33">
        <f t="shared" si="74"/>
        <v>99999999</v>
      </c>
      <c r="HH33">
        <f t="shared" si="74"/>
        <v>99999999</v>
      </c>
      <c r="HI33">
        <f t="shared" si="74"/>
        <v>99999999</v>
      </c>
      <c r="HJ33">
        <f t="shared" si="74"/>
        <v>99999999</v>
      </c>
      <c r="HK33">
        <f t="shared" si="74"/>
        <v>99999999</v>
      </c>
      <c r="HL33">
        <f t="shared" si="75"/>
        <v>99999999</v>
      </c>
      <c r="HM33">
        <f t="shared" si="75"/>
        <v>99999999</v>
      </c>
      <c r="HN33">
        <f t="shared" si="75"/>
        <v>99999999</v>
      </c>
      <c r="HO33">
        <f t="shared" si="75"/>
        <v>99999999</v>
      </c>
      <c r="HP33">
        <f t="shared" si="75"/>
        <v>99999999</v>
      </c>
      <c r="HQ33">
        <f t="shared" si="75"/>
        <v>99999999</v>
      </c>
      <c r="HR33">
        <f t="shared" si="75"/>
        <v>99999999</v>
      </c>
      <c r="HS33">
        <f t="shared" si="75"/>
        <v>99999999</v>
      </c>
      <c r="HT33">
        <f t="shared" si="75"/>
        <v>99999999</v>
      </c>
      <c r="HU33">
        <f t="shared" si="75"/>
        <v>99999999</v>
      </c>
      <c r="HV33">
        <f t="shared" si="76"/>
        <v>99999999</v>
      </c>
      <c r="HW33">
        <f t="shared" si="76"/>
        <v>99999999</v>
      </c>
      <c r="HX33">
        <f t="shared" si="76"/>
        <v>99999999</v>
      </c>
      <c r="HY33">
        <f t="shared" si="76"/>
        <v>99999999</v>
      </c>
      <c r="HZ33">
        <f t="shared" si="76"/>
        <v>99999999</v>
      </c>
      <c r="IA33">
        <f t="shared" si="76"/>
        <v>99999999</v>
      </c>
      <c r="IB33">
        <f t="shared" si="76"/>
        <v>99999999</v>
      </c>
      <c r="IC33">
        <f t="shared" si="76"/>
        <v>99999999</v>
      </c>
      <c r="ID33">
        <f t="shared" si="76"/>
        <v>99999999</v>
      </c>
      <c r="IE33">
        <f t="shared" si="76"/>
        <v>99999999</v>
      </c>
      <c r="IF33">
        <f t="shared" si="77"/>
        <v>99999999</v>
      </c>
      <c r="IG33">
        <f t="shared" si="77"/>
        <v>99999999</v>
      </c>
      <c r="IH33">
        <f t="shared" si="77"/>
        <v>99999999</v>
      </c>
      <c r="II33">
        <f t="shared" si="77"/>
        <v>99999999</v>
      </c>
      <c r="IJ33">
        <f t="shared" si="77"/>
        <v>99999999</v>
      </c>
      <c r="IK33">
        <f t="shared" si="77"/>
        <v>99999999</v>
      </c>
      <c r="IL33">
        <f t="shared" si="77"/>
        <v>99999999</v>
      </c>
      <c r="IM33">
        <f t="shared" si="77"/>
        <v>99999999</v>
      </c>
      <c r="IN33">
        <f t="shared" si="77"/>
        <v>99999999</v>
      </c>
      <c r="IO33">
        <f t="shared" si="77"/>
        <v>99999999</v>
      </c>
      <c r="IP33">
        <f t="shared" si="78"/>
        <v>99999999</v>
      </c>
      <c r="IQ33">
        <f t="shared" si="78"/>
        <v>99999999</v>
      </c>
      <c r="IR33">
        <f t="shared" si="78"/>
        <v>99999999</v>
      </c>
      <c r="IS33">
        <f t="shared" si="78"/>
        <v>99999999</v>
      </c>
      <c r="IT33">
        <f t="shared" si="78"/>
        <v>99999999</v>
      </c>
      <c r="IU33">
        <f t="shared" si="78"/>
        <v>99999999</v>
      </c>
      <c r="IV33">
        <f t="shared" si="78"/>
        <v>99999999</v>
      </c>
      <c r="IW33">
        <f t="shared" si="78"/>
        <v>99999999</v>
      </c>
      <c r="IX33">
        <f t="shared" si="78"/>
        <v>99999999</v>
      </c>
      <c r="IY33">
        <f t="shared" si="78"/>
        <v>99999999</v>
      </c>
    </row>
    <row r="34" spans="1:259" x14ac:dyDescent="0.3">
      <c r="A34">
        <f>CAMBIOS!A34</f>
        <v>200</v>
      </c>
      <c r="B34">
        <f>IF(D34=1,CAMBIOS!P34*Valor_1+CAMBIOS!Q34*Valor_2+CAMBIOS!R34*Valor_3,IF(CAMBIOS!P34=1,Valor_1,Valor_2))</f>
        <v>5</v>
      </c>
      <c r="C34">
        <f>IF(D34=1,0,IF(CAMBIOS!R34=1,Valor_3,Valor_2))</f>
        <v>7</v>
      </c>
      <c r="D34">
        <f>CAMBIOS!P34+CAMBIOS!Q34+CAMBIOS!R34</f>
        <v>2</v>
      </c>
      <c r="E34">
        <f t="shared" si="0"/>
        <v>9962</v>
      </c>
      <c r="F34">
        <f t="shared" si="1"/>
        <v>33</v>
      </c>
      <c r="G34">
        <f t="shared" si="2"/>
        <v>5</v>
      </c>
      <c r="H34">
        <f t="shared" si="3"/>
        <v>0</v>
      </c>
      <c r="J34">
        <f t="shared" si="54"/>
        <v>609972</v>
      </c>
      <c r="K34">
        <f t="shared" si="54"/>
        <v>109971</v>
      </c>
      <c r="L34">
        <f t="shared" si="54"/>
        <v>309971</v>
      </c>
      <c r="M34">
        <f t="shared" si="54"/>
        <v>509971</v>
      </c>
      <c r="N34">
        <f t="shared" si="54"/>
        <v>9970</v>
      </c>
      <c r="O34">
        <f t="shared" si="54"/>
        <v>209970</v>
      </c>
      <c r="P34">
        <f t="shared" si="54"/>
        <v>409970</v>
      </c>
      <c r="Q34">
        <f t="shared" si="54"/>
        <v>609970</v>
      </c>
      <c r="R34">
        <f t="shared" si="54"/>
        <v>109969</v>
      </c>
      <c r="S34">
        <f t="shared" si="54"/>
        <v>309969</v>
      </c>
      <c r="T34">
        <f t="shared" si="55"/>
        <v>509969</v>
      </c>
      <c r="U34">
        <f t="shared" si="55"/>
        <v>9968</v>
      </c>
      <c r="V34">
        <f t="shared" si="55"/>
        <v>209968</v>
      </c>
      <c r="W34">
        <f t="shared" si="55"/>
        <v>409968</v>
      </c>
      <c r="X34">
        <f t="shared" si="55"/>
        <v>609968</v>
      </c>
      <c r="Y34">
        <f t="shared" si="55"/>
        <v>109967</v>
      </c>
      <c r="Z34">
        <f t="shared" si="55"/>
        <v>309967</v>
      </c>
      <c r="AA34">
        <f t="shared" si="55"/>
        <v>509967</v>
      </c>
      <c r="AB34">
        <f t="shared" si="55"/>
        <v>9966</v>
      </c>
      <c r="AC34">
        <f t="shared" si="55"/>
        <v>209966</v>
      </c>
      <c r="AD34">
        <f t="shared" si="56"/>
        <v>409966</v>
      </c>
      <c r="AE34">
        <f t="shared" si="56"/>
        <v>609966</v>
      </c>
      <c r="AF34">
        <f t="shared" si="56"/>
        <v>109965</v>
      </c>
      <c r="AG34">
        <f t="shared" si="56"/>
        <v>309965</v>
      </c>
      <c r="AH34">
        <f t="shared" si="56"/>
        <v>509965</v>
      </c>
      <c r="AI34">
        <f t="shared" si="56"/>
        <v>9964</v>
      </c>
      <c r="AJ34">
        <f t="shared" si="56"/>
        <v>209964</v>
      </c>
      <c r="AK34">
        <f t="shared" si="56"/>
        <v>409964</v>
      </c>
      <c r="AL34">
        <f t="shared" si="56"/>
        <v>609964</v>
      </c>
      <c r="AM34">
        <f t="shared" si="56"/>
        <v>109963</v>
      </c>
      <c r="AN34">
        <f t="shared" si="57"/>
        <v>309963</v>
      </c>
      <c r="AO34">
        <f t="shared" si="57"/>
        <v>509963</v>
      </c>
      <c r="AP34">
        <f t="shared" si="57"/>
        <v>9962</v>
      </c>
      <c r="AQ34">
        <f t="shared" si="57"/>
        <v>209962</v>
      </c>
      <c r="AR34">
        <f t="shared" si="57"/>
        <v>409962</v>
      </c>
      <c r="AS34">
        <f t="shared" si="57"/>
        <v>609962</v>
      </c>
      <c r="AT34">
        <f t="shared" si="57"/>
        <v>109961</v>
      </c>
      <c r="AU34">
        <f t="shared" si="57"/>
        <v>309961</v>
      </c>
      <c r="AV34">
        <f t="shared" si="57"/>
        <v>99999999</v>
      </c>
      <c r="AW34">
        <f t="shared" si="57"/>
        <v>99999999</v>
      </c>
      <c r="AX34">
        <f t="shared" si="58"/>
        <v>99999999</v>
      </c>
      <c r="AY34">
        <f t="shared" si="58"/>
        <v>99999999</v>
      </c>
      <c r="AZ34">
        <f t="shared" si="58"/>
        <v>99999999</v>
      </c>
      <c r="BA34">
        <f t="shared" si="58"/>
        <v>99999999</v>
      </c>
      <c r="BB34">
        <f t="shared" si="58"/>
        <v>99999999</v>
      </c>
      <c r="BC34">
        <f t="shared" si="58"/>
        <v>99999999</v>
      </c>
      <c r="BD34">
        <f t="shared" si="58"/>
        <v>99999999</v>
      </c>
      <c r="BE34">
        <f t="shared" si="58"/>
        <v>99999999</v>
      </c>
      <c r="BF34">
        <f t="shared" si="58"/>
        <v>99999999</v>
      </c>
      <c r="BG34">
        <f t="shared" si="58"/>
        <v>99999999</v>
      </c>
      <c r="BH34">
        <f t="shared" si="59"/>
        <v>99999999</v>
      </c>
      <c r="BI34">
        <f t="shared" si="59"/>
        <v>99999999</v>
      </c>
      <c r="BJ34">
        <f t="shared" si="59"/>
        <v>99999999</v>
      </c>
      <c r="BK34">
        <f t="shared" si="59"/>
        <v>99999999</v>
      </c>
      <c r="BL34">
        <f t="shared" si="59"/>
        <v>99999999</v>
      </c>
      <c r="BM34">
        <f t="shared" si="59"/>
        <v>99999999</v>
      </c>
      <c r="BN34">
        <f t="shared" si="59"/>
        <v>99999999</v>
      </c>
      <c r="BO34">
        <f t="shared" si="59"/>
        <v>99999999</v>
      </c>
      <c r="BP34">
        <f t="shared" si="59"/>
        <v>99999999</v>
      </c>
      <c r="BQ34">
        <f t="shared" si="59"/>
        <v>99999999</v>
      </c>
      <c r="BR34">
        <f t="shared" si="60"/>
        <v>99999999</v>
      </c>
      <c r="BS34">
        <f t="shared" si="60"/>
        <v>99999999</v>
      </c>
      <c r="BT34">
        <f t="shared" si="60"/>
        <v>99999999</v>
      </c>
      <c r="BU34">
        <f t="shared" si="60"/>
        <v>99999999</v>
      </c>
      <c r="BV34">
        <f t="shared" si="60"/>
        <v>99999999</v>
      </c>
      <c r="BW34">
        <f t="shared" si="60"/>
        <v>99999999</v>
      </c>
      <c r="BX34">
        <f t="shared" si="60"/>
        <v>99999999</v>
      </c>
      <c r="BY34">
        <f t="shared" si="60"/>
        <v>99999999</v>
      </c>
      <c r="BZ34">
        <f t="shared" si="60"/>
        <v>99999999</v>
      </c>
      <c r="CA34">
        <f t="shared" si="60"/>
        <v>99999999</v>
      </c>
      <c r="CB34">
        <f t="shared" si="61"/>
        <v>99999999</v>
      </c>
      <c r="CC34">
        <f t="shared" si="61"/>
        <v>99999999</v>
      </c>
      <c r="CD34">
        <f t="shared" si="61"/>
        <v>99999999</v>
      </c>
      <c r="CE34">
        <f t="shared" si="61"/>
        <v>99999999</v>
      </c>
      <c r="CF34">
        <f t="shared" si="61"/>
        <v>99999999</v>
      </c>
      <c r="CG34">
        <f t="shared" si="61"/>
        <v>99999999</v>
      </c>
      <c r="CH34">
        <f t="shared" si="61"/>
        <v>99999999</v>
      </c>
      <c r="CI34">
        <f t="shared" si="61"/>
        <v>99999999</v>
      </c>
      <c r="CJ34">
        <f t="shared" si="61"/>
        <v>99999999</v>
      </c>
      <c r="CK34">
        <f t="shared" si="61"/>
        <v>99999999</v>
      </c>
      <c r="CL34">
        <f t="shared" si="62"/>
        <v>99999999</v>
      </c>
      <c r="CM34">
        <f t="shared" si="62"/>
        <v>99999999</v>
      </c>
      <c r="CN34">
        <f t="shared" si="62"/>
        <v>99999999</v>
      </c>
      <c r="CO34">
        <f t="shared" si="62"/>
        <v>99999999</v>
      </c>
      <c r="CP34">
        <f t="shared" si="62"/>
        <v>99999999</v>
      </c>
      <c r="CQ34">
        <f t="shared" si="62"/>
        <v>99999999</v>
      </c>
      <c r="CR34">
        <f t="shared" si="62"/>
        <v>99999999</v>
      </c>
      <c r="CS34">
        <f t="shared" si="62"/>
        <v>99999999</v>
      </c>
      <c r="CT34">
        <f t="shared" si="62"/>
        <v>99999999</v>
      </c>
      <c r="CU34">
        <f t="shared" si="62"/>
        <v>99999999</v>
      </c>
      <c r="CV34">
        <f t="shared" si="63"/>
        <v>99999999</v>
      </c>
      <c r="CW34">
        <f t="shared" si="63"/>
        <v>99999999</v>
      </c>
      <c r="CX34">
        <f t="shared" si="63"/>
        <v>99999999</v>
      </c>
      <c r="CY34">
        <f t="shared" si="63"/>
        <v>99999999</v>
      </c>
      <c r="CZ34">
        <f t="shared" si="63"/>
        <v>99999999</v>
      </c>
      <c r="DA34">
        <f t="shared" si="63"/>
        <v>99999999</v>
      </c>
      <c r="DB34">
        <f t="shared" si="63"/>
        <v>99999999</v>
      </c>
      <c r="DC34">
        <f t="shared" si="63"/>
        <v>99999999</v>
      </c>
      <c r="DD34">
        <f t="shared" si="63"/>
        <v>99999999</v>
      </c>
      <c r="DE34">
        <f t="shared" si="63"/>
        <v>99999999</v>
      </c>
      <c r="DF34">
        <f t="shared" si="64"/>
        <v>99999999</v>
      </c>
      <c r="DG34">
        <f t="shared" si="64"/>
        <v>99999999</v>
      </c>
      <c r="DH34">
        <f t="shared" si="64"/>
        <v>99999999</v>
      </c>
      <c r="DI34">
        <f t="shared" si="64"/>
        <v>99999999</v>
      </c>
      <c r="DJ34">
        <f t="shared" si="64"/>
        <v>99999999</v>
      </c>
      <c r="DK34">
        <f t="shared" si="64"/>
        <v>99999999</v>
      </c>
      <c r="DL34">
        <f t="shared" si="64"/>
        <v>99999999</v>
      </c>
      <c r="DM34">
        <f t="shared" si="64"/>
        <v>99999999</v>
      </c>
      <c r="DN34">
        <f t="shared" si="64"/>
        <v>99999999</v>
      </c>
      <c r="DO34">
        <f t="shared" si="64"/>
        <v>99999999</v>
      </c>
      <c r="DP34">
        <f t="shared" si="65"/>
        <v>99999999</v>
      </c>
      <c r="DQ34">
        <f t="shared" si="65"/>
        <v>99999999</v>
      </c>
      <c r="DR34">
        <f t="shared" si="65"/>
        <v>99999999</v>
      </c>
      <c r="DS34">
        <f t="shared" si="65"/>
        <v>99999999</v>
      </c>
      <c r="DT34">
        <f t="shared" si="65"/>
        <v>99999999</v>
      </c>
      <c r="DU34">
        <f t="shared" si="65"/>
        <v>99999999</v>
      </c>
      <c r="DV34">
        <f t="shared" si="65"/>
        <v>99999999</v>
      </c>
      <c r="DW34">
        <f t="shared" si="65"/>
        <v>99999999</v>
      </c>
      <c r="DX34">
        <f t="shared" si="65"/>
        <v>99999999</v>
      </c>
      <c r="DY34">
        <f t="shared" si="65"/>
        <v>99999999</v>
      </c>
      <c r="DZ34">
        <f t="shared" si="66"/>
        <v>99999999</v>
      </c>
      <c r="EA34">
        <f t="shared" si="66"/>
        <v>99999999</v>
      </c>
      <c r="EB34">
        <f t="shared" si="66"/>
        <v>99999999</v>
      </c>
      <c r="EC34">
        <f t="shared" si="66"/>
        <v>99999999</v>
      </c>
      <c r="ED34">
        <f t="shared" si="66"/>
        <v>99999999</v>
      </c>
      <c r="EE34">
        <f t="shared" si="66"/>
        <v>99999999</v>
      </c>
      <c r="EF34">
        <f t="shared" si="66"/>
        <v>99999999</v>
      </c>
      <c r="EG34">
        <f t="shared" si="66"/>
        <v>99999999</v>
      </c>
      <c r="EH34">
        <f t="shared" si="66"/>
        <v>99999999</v>
      </c>
      <c r="EI34">
        <f t="shared" si="66"/>
        <v>99999999</v>
      </c>
      <c r="EJ34">
        <f t="shared" si="67"/>
        <v>99999999</v>
      </c>
      <c r="EK34">
        <f t="shared" si="67"/>
        <v>99999999</v>
      </c>
      <c r="EL34">
        <f t="shared" si="67"/>
        <v>99999999</v>
      </c>
      <c r="EM34">
        <f t="shared" si="67"/>
        <v>99999999</v>
      </c>
      <c r="EN34">
        <f t="shared" si="67"/>
        <v>99999999</v>
      </c>
      <c r="EO34">
        <f t="shared" si="67"/>
        <v>99999999</v>
      </c>
      <c r="EP34">
        <f t="shared" si="67"/>
        <v>99999999</v>
      </c>
      <c r="EQ34">
        <f t="shared" si="67"/>
        <v>99999999</v>
      </c>
      <c r="ER34">
        <f t="shared" si="67"/>
        <v>99999999</v>
      </c>
      <c r="ES34">
        <f t="shared" si="67"/>
        <v>99999999</v>
      </c>
      <c r="ET34">
        <f t="shared" si="68"/>
        <v>99999999</v>
      </c>
      <c r="EU34">
        <f t="shared" si="68"/>
        <v>99999999</v>
      </c>
      <c r="EV34">
        <f t="shared" si="68"/>
        <v>99999999</v>
      </c>
      <c r="EW34">
        <f t="shared" si="68"/>
        <v>99999999</v>
      </c>
      <c r="EX34">
        <f t="shared" si="68"/>
        <v>99999999</v>
      </c>
      <c r="EY34">
        <f t="shared" si="68"/>
        <v>99999999</v>
      </c>
      <c r="EZ34">
        <f t="shared" si="68"/>
        <v>99999999</v>
      </c>
      <c r="FA34">
        <f t="shared" si="68"/>
        <v>99999999</v>
      </c>
      <c r="FB34">
        <f t="shared" si="68"/>
        <v>99999999</v>
      </c>
      <c r="FC34">
        <f t="shared" si="68"/>
        <v>99999999</v>
      </c>
      <c r="FD34">
        <f t="shared" si="69"/>
        <v>99999999</v>
      </c>
      <c r="FE34">
        <f t="shared" si="69"/>
        <v>99999999</v>
      </c>
      <c r="FF34">
        <f t="shared" si="69"/>
        <v>99999999</v>
      </c>
      <c r="FG34">
        <f t="shared" si="69"/>
        <v>99999999</v>
      </c>
      <c r="FH34">
        <f t="shared" si="69"/>
        <v>99999999</v>
      </c>
      <c r="FI34">
        <f t="shared" si="69"/>
        <v>99999999</v>
      </c>
      <c r="FJ34">
        <f t="shared" si="69"/>
        <v>99999999</v>
      </c>
      <c r="FK34">
        <f t="shared" si="69"/>
        <v>99999999</v>
      </c>
      <c r="FL34">
        <f t="shared" si="69"/>
        <v>99999999</v>
      </c>
      <c r="FM34">
        <f t="shared" si="69"/>
        <v>99999999</v>
      </c>
      <c r="FN34">
        <f t="shared" si="70"/>
        <v>99999999</v>
      </c>
      <c r="FO34">
        <f t="shared" si="70"/>
        <v>99999999</v>
      </c>
      <c r="FP34">
        <f t="shared" si="70"/>
        <v>99999999</v>
      </c>
      <c r="FQ34">
        <f t="shared" si="70"/>
        <v>99999999</v>
      </c>
      <c r="FR34">
        <f t="shared" si="70"/>
        <v>99999999</v>
      </c>
      <c r="FS34">
        <f t="shared" si="70"/>
        <v>99999999</v>
      </c>
      <c r="FT34">
        <f t="shared" si="70"/>
        <v>99999999</v>
      </c>
      <c r="FU34">
        <f t="shared" si="70"/>
        <v>99999999</v>
      </c>
      <c r="FV34">
        <f t="shared" si="70"/>
        <v>99999999</v>
      </c>
      <c r="FW34">
        <f t="shared" si="70"/>
        <v>99999999</v>
      </c>
      <c r="FX34">
        <f t="shared" si="71"/>
        <v>99999999</v>
      </c>
      <c r="FY34">
        <f t="shared" si="71"/>
        <v>99999999</v>
      </c>
      <c r="FZ34">
        <f t="shared" si="71"/>
        <v>99999999</v>
      </c>
      <c r="GA34">
        <f t="shared" si="71"/>
        <v>99999999</v>
      </c>
      <c r="GB34">
        <f t="shared" si="71"/>
        <v>99999999</v>
      </c>
      <c r="GC34">
        <f t="shared" si="71"/>
        <v>99999999</v>
      </c>
      <c r="GD34">
        <f t="shared" si="71"/>
        <v>99999999</v>
      </c>
      <c r="GE34">
        <f t="shared" si="71"/>
        <v>99999999</v>
      </c>
      <c r="GF34">
        <f t="shared" si="71"/>
        <v>99999999</v>
      </c>
      <c r="GG34">
        <f t="shared" si="71"/>
        <v>99999999</v>
      </c>
      <c r="GH34">
        <f t="shared" si="72"/>
        <v>99999999</v>
      </c>
      <c r="GI34">
        <f t="shared" si="72"/>
        <v>99999999</v>
      </c>
      <c r="GJ34">
        <f t="shared" si="72"/>
        <v>99999999</v>
      </c>
      <c r="GK34">
        <f t="shared" si="72"/>
        <v>99999999</v>
      </c>
      <c r="GL34">
        <f t="shared" si="72"/>
        <v>99999999</v>
      </c>
      <c r="GM34">
        <f t="shared" si="72"/>
        <v>99999999</v>
      </c>
      <c r="GN34">
        <f t="shared" si="72"/>
        <v>99999999</v>
      </c>
      <c r="GO34">
        <f t="shared" si="72"/>
        <v>99999999</v>
      </c>
      <c r="GP34">
        <f t="shared" si="72"/>
        <v>99999999</v>
      </c>
      <c r="GQ34">
        <f t="shared" si="72"/>
        <v>99999999</v>
      </c>
      <c r="GR34">
        <f t="shared" si="73"/>
        <v>99999999</v>
      </c>
      <c r="GS34">
        <f t="shared" si="73"/>
        <v>99999999</v>
      </c>
      <c r="GT34">
        <f t="shared" si="73"/>
        <v>99999999</v>
      </c>
      <c r="GU34">
        <f t="shared" si="73"/>
        <v>99999999</v>
      </c>
      <c r="GV34">
        <f t="shared" si="73"/>
        <v>99999999</v>
      </c>
      <c r="GW34">
        <f t="shared" si="73"/>
        <v>99999999</v>
      </c>
      <c r="GX34">
        <f t="shared" si="73"/>
        <v>99999999</v>
      </c>
      <c r="GY34">
        <f t="shared" si="73"/>
        <v>99999999</v>
      </c>
      <c r="GZ34">
        <f t="shared" si="73"/>
        <v>99999999</v>
      </c>
      <c r="HA34">
        <f t="shared" si="73"/>
        <v>99999999</v>
      </c>
      <c r="HB34">
        <f t="shared" si="74"/>
        <v>99999999</v>
      </c>
      <c r="HC34">
        <f t="shared" si="74"/>
        <v>99999999</v>
      </c>
      <c r="HD34">
        <f t="shared" si="74"/>
        <v>99999999</v>
      </c>
      <c r="HE34">
        <f t="shared" si="74"/>
        <v>99999999</v>
      </c>
      <c r="HF34">
        <f t="shared" si="74"/>
        <v>99999999</v>
      </c>
      <c r="HG34">
        <f t="shared" si="74"/>
        <v>99999999</v>
      </c>
      <c r="HH34">
        <f t="shared" si="74"/>
        <v>99999999</v>
      </c>
      <c r="HI34">
        <f t="shared" si="74"/>
        <v>99999999</v>
      </c>
      <c r="HJ34">
        <f t="shared" si="74"/>
        <v>99999999</v>
      </c>
      <c r="HK34">
        <f t="shared" si="74"/>
        <v>99999999</v>
      </c>
      <c r="HL34">
        <f t="shared" si="75"/>
        <v>99999999</v>
      </c>
      <c r="HM34">
        <f t="shared" si="75"/>
        <v>99999999</v>
      </c>
      <c r="HN34">
        <f t="shared" si="75"/>
        <v>99999999</v>
      </c>
      <c r="HO34">
        <f t="shared" si="75"/>
        <v>99999999</v>
      </c>
      <c r="HP34">
        <f t="shared" si="75"/>
        <v>99999999</v>
      </c>
      <c r="HQ34">
        <f t="shared" si="75"/>
        <v>99999999</v>
      </c>
      <c r="HR34">
        <f t="shared" si="75"/>
        <v>99999999</v>
      </c>
      <c r="HS34">
        <f t="shared" si="75"/>
        <v>99999999</v>
      </c>
      <c r="HT34">
        <f t="shared" si="75"/>
        <v>99999999</v>
      </c>
      <c r="HU34">
        <f t="shared" si="75"/>
        <v>99999999</v>
      </c>
      <c r="HV34">
        <f t="shared" si="76"/>
        <v>99999999</v>
      </c>
      <c r="HW34">
        <f t="shared" si="76"/>
        <v>99999999</v>
      </c>
      <c r="HX34">
        <f t="shared" si="76"/>
        <v>99999999</v>
      </c>
      <c r="HY34">
        <f t="shared" si="76"/>
        <v>99999999</v>
      </c>
      <c r="HZ34">
        <f t="shared" si="76"/>
        <v>99999999</v>
      </c>
      <c r="IA34">
        <f t="shared" si="76"/>
        <v>99999999</v>
      </c>
      <c r="IB34">
        <f t="shared" si="76"/>
        <v>99999999</v>
      </c>
      <c r="IC34">
        <f t="shared" si="76"/>
        <v>99999999</v>
      </c>
      <c r="ID34">
        <f t="shared" si="76"/>
        <v>99999999</v>
      </c>
      <c r="IE34">
        <f t="shared" si="76"/>
        <v>99999999</v>
      </c>
      <c r="IF34">
        <f t="shared" si="77"/>
        <v>99999999</v>
      </c>
      <c r="IG34">
        <f t="shared" si="77"/>
        <v>99999999</v>
      </c>
      <c r="IH34">
        <f t="shared" si="77"/>
        <v>99999999</v>
      </c>
      <c r="II34">
        <f t="shared" si="77"/>
        <v>99999999</v>
      </c>
      <c r="IJ34">
        <f t="shared" si="77"/>
        <v>99999999</v>
      </c>
      <c r="IK34">
        <f t="shared" si="77"/>
        <v>99999999</v>
      </c>
      <c r="IL34">
        <f t="shared" si="77"/>
        <v>99999999</v>
      </c>
      <c r="IM34">
        <f t="shared" si="77"/>
        <v>99999999</v>
      </c>
      <c r="IN34">
        <f t="shared" si="77"/>
        <v>99999999</v>
      </c>
      <c r="IO34">
        <f t="shared" si="77"/>
        <v>99999999</v>
      </c>
      <c r="IP34">
        <f t="shared" si="78"/>
        <v>99999999</v>
      </c>
      <c r="IQ34">
        <f t="shared" si="78"/>
        <v>99999999</v>
      </c>
      <c r="IR34">
        <f t="shared" si="78"/>
        <v>99999999</v>
      </c>
      <c r="IS34">
        <f t="shared" si="78"/>
        <v>99999999</v>
      </c>
      <c r="IT34">
        <f t="shared" si="78"/>
        <v>99999999</v>
      </c>
      <c r="IU34">
        <f t="shared" si="78"/>
        <v>99999999</v>
      </c>
      <c r="IV34">
        <f t="shared" si="78"/>
        <v>99999999</v>
      </c>
      <c r="IW34">
        <f t="shared" si="78"/>
        <v>99999999</v>
      </c>
      <c r="IX34">
        <f t="shared" si="78"/>
        <v>99999999</v>
      </c>
      <c r="IY34">
        <f t="shared" si="78"/>
        <v>99999999</v>
      </c>
    </row>
  </sheetData>
  <sheetProtection sheet="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4"/>
  <sheetViews>
    <sheetView showGridLines="0" workbookViewId="0"/>
  </sheetViews>
  <sheetFormatPr baseColWidth="10" defaultColWidth="8.88671875" defaultRowHeight="14.4" x14ac:dyDescent="0.3"/>
  <cols>
    <col min="1" max="1" width="18" customWidth="1"/>
    <col min="2" max="2" width="60" customWidth="1"/>
    <col min="3" max="3" width="3" customWidth="1"/>
    <col min="4" max="4" width="10" customWidth="1"/>
    <col min="5" max="5" width="9" customWidth="1"/>
    <col min="6" max="6" width="34" customWidth="1"/>
    <col min="7" max="9" width="11" customWidth="1"/>
    <col min="10" max="10" width="12" customWidth="1"/>
    <col min="11" max="11" width="15" customWidth="1"/>
  </cols>
  <sheetData>
    <row r="1" spans="1:11" ht="21" customHeight="1" x14ac:dyDescent="0.4">
      <c r="A1" s="1" t="s">
        <v>87</v>
      </c>
    </row>
    <row r="2" spans="1:11" x14ac:dyDescent="0.3">
      <c r="A2" s="4" t="s">
        <v>88</v>
      </c>
    </row>
    <row r="4" spans="1:11" ht="26.4" customHeight="1" x14ac:dyDescent="0.3">
      <c r="A4" s="5" t="s">
        <v>89</v>
      </c>
      <c r="B4" s="5" t="s">
        <v>90</v>
      </c>
      <c r="D4" s="5" t="s">
        <v>57</v>
      </c>
      <c r="E4" s="5" t="s">
        <v>91</v>
      </c>
      <c r="F4" s="5" t="s">
        <v>3</v>
      </c>
      <c r="G4" s="5" t="s">
        <v>92</v>
      </c>
      <c r="H4" s="5" t="s">
        <v>93</v>
      </c>
      <c r="I4" s="5" t="s">
        <v>94</v>
      </c>
      <c r="J4" s="5" t="s">
        <v>86</v>
      </c>
      <c r="K4" s="5" t="s">
        <v>7</v>
      </c>
    </row>
    <row r="5" spans="1:11" x14ac:dyDescent="0.3">
      <c r="A5" s="38" t="s">
        <v>95</v>
      </c>
      <c r="B5" s="27">
        <f>Valor_1</f>
        <v>3</v>
      </c>
      <c r="D5" s="30">
        <f>CAMBIOS!A5</f>
        <v>10</v>
      </c>
      <c r="E5" s="39">
        <v>1</v>
      </c>
      <c r="F5" s="27" t="str">
        <f>CAMBIOS!B5</f>
        <v>Solo 3 € (Cerveza)</v>
      </c>
      <c r="G5" s="40">
        <f>IF(CAMBIOS!P5=1,N(CAMBIOS!C5),0)</f>
        <v>3</v>
      </c>
      <c r="H5" s="40">
        <f>IF(CAMBIOS!Q5=1,N(CAMBIOS!E5),0)</f>
        <v>0</v>
      </c>
      <c r="I5" s="40">
        <f>IF(CAMBIOS!R5=1,N(CAMBIOS!G5),0)</f>
        <v>0</v>
      </c>
      <c r="J5" s="30">
        <f>CAMBIOS!K5</f>
        <v>1</v>
      </c>
      <c r="K5" s="33" t="str">
        <f>CAMBIOS!L5</f>
        <v>OK</v>
      </c>
    </row>
    <row r="6" spans="1:11" x14ac:dyDescent="0.3">
      <c r="A6" s="38" t="s">
        <v>96</v>
      </c>
      <c r="B6" s="27" t="str">
        <f>Bebida_1</f>
        <v>Cerveza</v>
      </c>
      <c r="D6" s="30">
        <f>CAMBIOS!A6</f>
        <v>10</v>
      </c>
      <c r="E6" s="39">
        <v>2</v>
      </c>
      <c r="F6" s="27" t="str">
        <f>CAMBIOS!B6</f>
        <v>Solo 5 € (Calimocho)</v>
      </c>
      <c r="G6" s="40">
        <f>IF(CAMBIOS!P6=1,N(CAMBIOS!C6),0)</f>
        <v>0</v>
      </c>
      <c r="H6" s="40">
        <f>IF(CAMBIOS!Q6=1,N(CAMBIOS!E6),0)</f>
        <v>2</v>
      </c>
      <c r="I6" s="40">
        <f>IF(CAMBIOS!R6=1,N(CAMBIOS!G6),0)</f>
        <v>0</v>
      </c>
      <c r="J6" s="30">
        <f>CAMBIOS!K6</f>
        <v>0</v>
      </c>
      <c r="K6" s="33" t="str">
        <f>CAMBIOS!L6</f>
        <v>OK</v>
      </c>
    </row>
    <row r="7" spans="1:11" x14ac:dyDescent="0.3">
      <c r="A7" s="38" t="s">
        <v>97</v>
      </c>
      <c r="B7" s="27" t="str">
        <f>Color_1</f>
        <v>#F4511E</v>
      </c>
      <c r="D7" s="30">
        <f>CAMBIOS!A7</f>
        <v>10</v>
      </c>
      <c r="E7" s="39">
        <v>3</v>
      </c>
      <c r="F7" s="27" t="str">
        <f>CAMBIOS!B7</f>
        <v>Solo 7 € (Cubata)</v>
      </c>
      <c r="G7" s="40">
        <f>IF(CAMBIOS!P7=1,N(CAMBIOS!C7),0)</f>
        <v>0</v>
      </c>
      <c r="H7" s="40">
        <f>IF(CAMBIOS!Q7=1,N(CAMBIOS!E7),0)</f>
        <v>0</v>
      </c>
      <c r="I7" s="40">
        <f>IF(CAMBIOS!R7=1,N(CAMBIOS!G7),0)</f>
        <v>1</v>
      </c>
      <c r="J7" s="30">
        <f>CAMBIOS!K7</f>
        <v>3</v>
      </c>
      <c r="K7" s="33" t="str">
        <f>CAMBIOS!L7</f>
        <v>OK</v>
      </c>
    </row>
    <row r="8" spans="1:11" x14ac:dyDescent="0.3">
      <c r="A8" s="38" t="s">
        <v>98</v>
      </c>
      <c r="B8" s="27">
        <f>Valor_2</f>
        <v>5</v>
      </c>
      <c r="D8" s="30">
        <f>CAMBIOS!A8</f>
        <v>10</v>
      </c>
      <c r="E8" s="39">
        <v>4</v>
      </c>
      <c r="F8" s="27" t="str">
        <f>CAMBIOS!B8</f>
        <v>3 € + 5 € (Cerveza + Calimocho)</v>
      </c>
      <c r="G8" s="40">
        <f>IF(CAMBIOS!P8=1,N(CAMBIOS!C8),0)</f>
        <v>1</v>
      </c>
      <c r="H8" s="40">
        <f>IF(CAMBIOS!Q8=1,N(CAMBIOS!E8),0)</f>
        <v>1</v>
      </c>
      <c r="I8" s="40">
        <f>IF(CAMBIOS!R8=1,N(CAMBIOS!G8),0)</f>
        <v>0</v>
      </c>
      <c r="J8" s="30">
        <f>CAMBIOS!K8</f>
        <v>2</v>
      </c>
      <c r="K8" s="33" t="str">
        <f>CAMBIOS!L8</f>
        <v>OK</v>
      </c>
    </row>
    <row r="9" spans="1:11" x14ac:dyDescent="0.3">
      <c r="A9" s="38" t="s">
        <v>99</v>
      </c>
      <c r="B9" s="27" t="str">
        <f>Bebida_2</f>
        <v>Calimocho</v>
      </c>
      <c r="D9" s="30">
        <f>CAMBIOS!A9</f>
        <v>10</v>
      </c>
      <c r="E9" s="39">
        <v>5</v>
      </c>
      <c r="F9" s="27" t="str">
        <f>CAMBIOS!B9</f>
        <v>3 € + 7 € (Cerveza + Cubata)</v>
      </c>
      <c r="G9" s="40">
        <f>IF(CAMBIOS!P9=1,N(CAMBIOS!C9),0)</f>
        <v>1</v>
      </c>
      <c r="H9" s="40">
        <f>IF(CAMBIOS!Q9=1,N(CAMBIOS!E9),0)</f>
        <v>0</v>
      </c>
      <c r="I9" s="40">
        <f>IF(CAMBIOS!R9=1,N(CAMBIOS!G9),0)</f>
        <v>1</v>
      </c>
      <c r="J9" s="30">
        <f>CAMBIOS!K9</f>
        <v>0</v>
      </c>
      <c r="K9" s="33" t="str">
        <f>CAMBIOS!L9</f>
        <v>OK</v>
      </c>
    </row>
    <row r="10" spans="1:11" ht="26.4" customHeight="1" x14ac:dyDescent="0.3">
      <c r="A10" s="38" t="s">
        <v>100</v>
      </c>
      <c r="B10" s="27" t="str">
        <f>Color_2</f>
        <v>#29A9F0</v>
      </c>
      <c r="D10" s="30">
        <f>CAMBIOS!A10</f>
        <v>10</v>
      </c>
      <c r="E10" s="39">
        <v>6</v>
      </c>
      <c r="F10" s="27" t="str">
        <f>CAMBIOS!B10</f>
        <v>5 € + 7 € (Calimocho + Cubata)</v>
      </c>
      <c r="G10" s="40">
        <f>IF(CAMBIOS!P10=1,N(CAMBIOS!C10),0)</f>
        <v>0</v>
      </c>
      <c r="H10" s="40">
        <f>IF(CAMBIOS!Q10=1,N(CAMBIOS!E10),0)</f>
        <v>0</v>
      </c>
      <c r="I10" s="40">
        <f>IF(CAMBIOS!R10=1,N(CAMBIOS!G10),0)</f>
        <v>0</v>
      </c>
      <c r="J10" s="30" t="str">
        <f>CAMBIOS!K10</f>
        <v>—</v>
      </c>
      <c r="K10" s="33" t="str">
        <f>CAMBIOS!L10</f>
        <v>NO ES POSIBLE</v>
      </c>
    </row>
    <row r="11" spans="1:11" x14ac:dyDescent="0.3">
      <c r="A11" s="38" t="s">
        <v>101</v>
      </c>
      <c r="B11" s="27">
        <f>Valor_3</f>
        <v>7</v>
      </c>
      <c r="D11" s="30">
        <f>CAMBIOS!A11</f>
        <v>20</v>
      </c>
      <c r="E11" s="39">
        <v>1</v>
      </c>
      <c r="F11" s="27" t="str">
        <f>CAMBIOS!B11</f>
        <v>Solo 3 € (Cerveza)</v>
      </c>
      <c r="G11" s="40">
        <f>IF(CAMBIOS!P11=1,N(CAMBIOS!C11),0)</f>
        <v>6</v>
      </c>
      <c r="H11" s="40">
        <f>IF(CAMBIOS!Q11=1,N(CAMBIOS!E11),0)</f>
        <v>0</v>
      </c>
      <c r="I11" s="40">
        <f>IF(CAMBIOS!R11=1,N(CAMBIOS!G11),0)</f>
        <v>0</v>
      </c>
      <c r="J11" s="30">
        <f>CAMBIOS!K11</f>
        <v>2</v>
      </c>
      <c r="K11" s="33" t="str">
        <f>CAMBIOS!L11</f>
        <v>OK</v>
      </c>
    </row>
    <row r="12" spans="1:11" x14ac:dyDescent="0.3">
      <c r="A12" s="38" t="s">
        <v>102</v>
      </c>
      <c r="B12" s="27" t="str">
        <f>Bebida_3</f>
        <v>Cubata</v>
      </c>
      <c r="D12" s="30">
        <f>CAMBIOS!A12</f>
        <v>20</v>
      </c>
      <c r="E12" s="39">
        <v>2</v>
      </c>
      <c r="F12" s="27" t="str">
        <f>CAMBIOS!B12</f>
        <v>Solo 5 € (Calimocho)</v>
      </c>
      <c r="G12" s="40">
        <f>IF(CAMBIOS!P12=1,N(CAMBIOS!C12),0)</f>
        <v>0</v>
      </c>
      <c r="H12" s="40">
        <f>IF(CAMBIOS!Q12=1,N(CAMBIOS!E12),0)</f>
        <v>4</v>
      </c>
      <c r="I12" s="40">
        <f>IF(CAMBIOS!R12=1,N(CAMBIOS!G12),0)</f>
        <v>0</v>
      </c>
      <c r="J12" s="30">
        <f>CAMBIOS!K12</f>
        <v>0</v>
      </c>
      <c r="K12" s="33" t="str">
        <f>CAMBIOS!L12</f>
        <v>OK</v>
      </c>
    </row>
    <row r="13" spans="1:11" x14ac:dyDescent="0.3">
      <c r="A13" s="38" t="s">
        <v>103</v>
      </c>
      <c r="B13" s="27" t="str">
        <f>Color_3</f>
        <v>#F5A400</v>
      </c>
      <c r="D13" s="30">
        <f>CAMBIOS!A13</f>
        <v>20</v>
      </c>
      <c r="E13" s="39">
        <v>3</v>
      </c>
      <c r="F13" s="27" t="str">
        <f>CAMBIOS!B13</f>
        <v>Solo 7 € (Cubata)</v>
      </c>
      <c r="G13" s="40">
        <f>IF(CAMBIOS!P13=1,N(CAMBIOS!C13),0)</f>
        <v>0</v>
      </c>
      <c r="H13" s="40">
        <f>IF(CAMBIOS!Q13=1,N(CAMBIOS!E13),0)</f>
        <v>0</v>
      </c>
      <c r="I13" s="40">
        <f>IF(CAMBIOS!R13=1,N(CAMBIOS!G13),0)</f>
        <v>2</v>
      </c>
      <c r="J13" s="30">
        <f>CAMBIOS!K13</f>
        <v>6</v>
      </c>
      <c r="K13" s="33" t="str">
        <f>CAMBIOS!L13</f>
        <v>OK</v>
      </c>
    </row>
    <row r="14" spans="1:11" x14ac:dyDescent="0.3">
      <c r="A14" s="38" t="s">
        <v>104</v>
      </c>
      <c r="B14" s="27" t="str">
        <f>Texto_titulo</f>
        <v>CAMBIO DE DINERO A FICHAS</v>
      </c>
      <c r="D14" s="30">
        <f>CAMBIOS!A14</f>
        <v>20</v>
      </c>
      <c r="E14" s="39">
        <v>4</v>
      </c>
      <c r="F14" s="27" t="str">
        <f>CAMBIOS!B14</f>
        <v>3 € + 5 € (Cerveza + Calimocho)</v>
      </c>
      <c r="G14" s="40">
        <f>IF(CAMBIOS!P14=1,N(CAMBIOS!C14),0)</f>
        <v>3</v>
      </c>
      <c r="H14" s="40">
        <f>IF(CAMBIOS!Q14=1,N(CAMBIOS!E14),0)</f>
        <v>2</v>
      </c>
      <c r="I14" s="40">
        <f>IF(CAMBIOS!R14=1,N(CAMBIOS!G14),0)</f>
        <v>0</v>
      </c>
      <c r="J14" s="30">
        <f>CAMBIOS!K14</f>
        <v>1</v>
      </c>
      <c r="K14" s="33" t="str">
        <f>CAMBIOS!L14</f>
        <v>OK</v>
      </c>
    </row>
    <row r="15" spans="1:11" x14ac:dyDescent="0.3">
      <c r="A15" s="38" t="s">
        <v>105</v>
      </c>
      <c r="B15" s="27" t="str">
        <f>Texto_subtitulo</f>
        <v>TÚ ELIGES  •  DISFRUTA DEL FESTIVAL</v>
      </c>
      <c r="D15" s="30">
        <f>CAMBIOS!A15</f>
        <v>20</v>
      </c>
      <c r="E15" s="39">
        <v>5</v>
      </c>
      <c r="F15" s="27" t="str">
        <f>CAMBIOS!B15</f>
        <v>3 € + 7 € (Cerveza + Cubata)</v>
      </c>
      <c r="G15" s="40">
        <f>IF(CAMBIOS!P15=1,N(CAMBIOS!C15),0)</f>
        <v>2</v>
      </c>
      <c r="H15" s="40">
        <f>IF(CAMBIOS!Q15=1,N(CAMBIOS!E15),0)</f>
        <v>0</v>
      </c>
      <c r="I15" s="40">
        <f>IF(CAMBIOS!R15=1,N(CAMBIOS!G15),0)</f>
        <v>2</v>
      </c>
      <c r="J15" s="30">
        <f>CAMBIOS!K15</f>
        <v>0</v>
      </c>
      <c r="K15" s="33" t="str">
        <f>CAMBIOS!L15</f>
        <v>OK</v>
      </c>
    </row>
    <row r="16" spans="1:11" x14ac:dyDescent="0.3">
      <c r="A16" s="38" t="s">
        <v>106</v>
      </c>
      <c r="B16" s="27" t="str">
        <f>Texto_tabla</f>
        <v>POSIBLES COMBINACIONES DE CAMBIO DE FICHAS</v>
      </c>
      <c r="D16" s="30">
        <f>CAMBIOS!A16</f>
        <v>20</v>
      </c>
      <c r="E16" s="39">
        <v>6</v>
      </c>
      <c r="F16" s="27" t="str">
        <f>CAMBIOS!B16</f>
        <v>5 € + 7 € (Calimocho + Cubata)</v>
      </c>
      <c r="G16" s="40">
        <f>IF(CAMBIOS!P16=1,N(CAMBIOS!C16),0)</f>
        <v>0</v>
      </c>
      <c r="H16" s="40">
        <f>IF(CAMBIOS!Q16=1,N(CAMBIOS!E16),0)</f>
        <v>1</v>
      </c>
      <c r="I16" s="40">
        <f>IF(CAMBIOS!R16=1,N(CAMBIOS!G16),0)</f>
        <v>2</v>
      </c>
      <c r="J16" s="30">
        <f>CAMBIOS!K16</f>
        <v>1</v>
      </c>
      <c r="K16" s="33" t="str">
        <f>CAMBIOS!L16</f>
        <v>OK</v>
      </c>
    </row>
    <row r="17" spans="1:11" ht="26.4" customHeight="1" x14ac:dyDescent="0.3">
      <c r="A17" s="38" t="s">
        <v>107</v>
      </c>
      <c r="B17" s="27" t="str">
        <f>Texto_pie</f>
        <v>¡ELIGE TU COMBINACIÓN, CAMBIA TUS EUROS POR FICHAS Y DISFRUTA!</v>
      </c>
      <c r="D17" s="30">
        <f>CAMBIOS!A17</f>
        <v>50</v>
      </c>
      <c r="E17" s="39">
        <v>1</v>
      </c>
      <c r="F17" s="27" t="str">
        <f>CAMBIOS!B17</f>
        <v>Solo 3 € (Cerveza)</v>
      </c>
      <c r="G17" s="40">
        <f>IF(CAMBIOS!P17=1,N(CAMBIOS!C17),0)</f>
        <v>16</v>
      </c>
      <c r="H17" s="40">
        <f>IF(CAMBIOS!Q17=1,N(CAMBIOS!E17),0)</f>
        <v>0</v>
      </c>
      <c r="I17" s="40">
        <f>IF(CAMBIOS!R17=1,N(CAMBIOS!G17),0)</f>
        <v>0</v>
      </c>
      <c r="J17" s="30">
        <f>CAMBIOS!K17</f>
        <v>2</v>
      </c>
      <c r="K17" s="33" t="str">
        <f>CAMBIOS!L17</f>
        <v>OK</v>
      </c>
    </row>
    <row r="18" spans="1:11" x14ac:dyDescent="0.3">
      <c r="A18" s="38" t="s">
        <v>108</v>
      </c>
      <c r="B18" s="27">
        <f>Precio_vaso</f>
        <v>1</v>
      </c>
      <c r="D18" s="30">
        <f>CAMBIOS!A18</f>
        <v>50</v>
      </c>
      <c r="E18" s="39">
        <v>2</v>
      </c>
      <c r="F18" s="27" t="str">
        <f>CAMBIOS!B18</f>
        <v>Solo 5 € (Calimocho)</v>
      </c>
      <c r="G18" s="40">
        <f>IF(CAMBIOS!P18=1,N(CAMBIOS!C18),0)</f>
        <v>0</v>
      </c>
      <c r="H18" s="40">
        <f>IF(CAMBIOS!Q18=1,N(CAMBIOS!E18),0)</f>
        <v>10</v>
      </c>
      <c r="I18" s="40">
        <f>IF(CAMBIOS!R18=1,N(CAMBIOS!G18),0)</f>
        <v>0</v>
      </c>
      <c r="J18" s="30">
        <f>CAMBIOS!K18</f>
        <v>0</v>
      </c>
      <c r="K18" s="33" t="str">
        <f>CAMBIOS!L18</f>
        <v>OK</v>
      </c>
    </row>
    <row r="19" spans="1:11" x14ac:dyDescent="0.3">
      <c r="D19" s="30">
        <f>CAMBIOS!A19</f>
        <v>50</v>
      </c>
      <c r="E19" s="39">
        <v>3</v>
      </c>
      <c r="F19" s="27" t="str">
        <f>CAMBIOS!B19</f>
        <v>Solo 7 € (Cubata)</v>
      </c>
      <c r="G19" s="40">
        <f>IF(CAMBIOS!P19=1,N(CAMBIOS!C19),0)</f>
        <v>0</v>
      </c>
      <c r="H19" s="40">
        <f>IF(CAMBIOS!Q19=1,N(CAMBIOS!E19),0)</f>
        <v>0</v>
      </c>
      <c r="I19" s="40">
        <f>IF(CAMBIOS!R19=1,N(CAMBIOS!G19),0)</f>
        <v>7</v>
      </c>
      <c r="J19" s="30">
        <f>CAMBIOS!K19</f>
        <v>1</v>
      </c>
      <c r="K19" s="33" t="str">
        <f>CAMBIOS!L19</f>
        <v>OK</v>
      </c>
    </row>
    <row r="20" spans="1:11" x14ac:dyDescent="0.3">
      <c r="D20" s="30">
        <f>CAMBIOS!A20</f>
        <v>50</v>
      </c>
      <c r="E20" s="39">
        <v>4</v>
      </c>
      <c r="F20" s="27" t="str">
        <f>CAMBIOS!B20</f>
        <v>3 € + 5 € (Cerveza + Calimocho)</v>
      </c>
      <c r="G20" s="40">
        <f>IF(CAMBIOS!P20=1,N(CAMBIOS!C20),0)</f>
        <v>6</v>
      </c>
      <c r="H20" s="40">
        <f>IF(CAMBIOS!Q20=1,N(CAMBIOS!E20),0)</f>
        <v>6</v>
      </c>
      <c r="I20" s="40">
        <f>IF(CAMBIOS!R20=1,N(CAMBIOS!G20),0)</f>
        <v>0</v>
      </c>
      <c r="J20" s="30">
        <f>CAMBIOS!K20</f>
        <v>2</v>
      </c>
      <c r="K20" s="33" t="str">
        <f>CAMBIOS!L20</f>
        <v>OK</v>
      </c>
    </row>
    <row r="21" spans="1:11" x14ac:dyDescent="0.3">
      <c r="D21" s="30">
        <f>CAMBIOS!A21</f>
        <v>50</v>
      </c>
      <c r="E21" s="39">
        <v>5</v>
      </c>
      <c r="F21" s="27" t="str">
        <f>CAMBIOS!B21</f>
        <v>3 € + 7 € (Cerveza + Cubata)</v>
      </c>
      <c r="G21" s="40">
        <f>IF(CAMBIOS!P21=1,N(CAMBIOS!C21),0)</f>
        <v>5</v>
      </c>
      <c r="H21" s="40">
        <f>IF(CAMBIOS!Q21=1,N(CAMBIOS!E21),0)</f>
        <v>0</v>
      </c>
      <c r="I21" s="40">
        <f>IF(CAMBIOS!R21=1,N(CAMBIOS!G21),0)</f>
        <v>5</v>
      </c>
      <c r="J21" s="30">
        <f>CAMBIOS!K21</f>
        <v>0</v>
      </c>
      <c r="K21" s="33" t="str">
        <f>CAMBIOS!L21</f>
        <v>OK</v>
      </c>
    </row>
    <row r="22" spans="1:11" x14ac:dyDescent="0.3">
      <c r="D22" s="30">
        <f>CAMBIOS!A22</f>
        <v>50</v>
      </c>
      <c r="E22" s="39">
        <v>6</v>
      </c>
      <c r="F22" s="27" t="str">
        <f>CAMBIOS!B22</f>
        <v>5 € + 7 € (Calimocho + Cubata)</v>
      </c>
      <c r="G22" s="40">
        <f>IF(CAMBIOS!P22=1,N(CAMBIOS!C22),0)</f>
        <v>0</v>
      </c>
      <c r="H22" s="40">
        <f>IF(CAMBIOS!Q22=1,N(CAMBIOS!E22),0)</f>
        <v>3</v>
      </c>
      <c r="I22" s="40">
        <f>IF(CAMBIOS!R22=1,N(CAMBIOS!G22),0)</f>
        <v>5</v>
      </c>
      <c r="J22" s="30">
        <f>CAMBIOS!K22</f>
        <v>0</v>
      </c>
      <c r="K22" s="33" t="str">
        <f>CAMBIOS!L22</f>
        <v>OK</v>
      </c>
    </row>
    <row r="23" spans="1:11" x14ac:dyDescent="0.3">
      <c r="D23" s="30">
        <f>CAMBIOS!A23</f>
        <v>100</v>
      </c>
      <c r="E23" s="39">
        <v>1</v>
      </c>
      <c r="F23" s="27" t="str">
        <f>CAMBIOS!B23</f>
        <v>Solo 3 € (Cerveza)</v>
      </c>
      <c r="G23" s="40">
        <f>IF(CAMBIOS!P23=1,N(CAMBIOS!C23),0)</f>
        <v>33</v>
      </c>
      <c r="H23" s="40">
        <f>IF(CAMBIOS!Q23=1,N(CAMBIOS!E23),0)</f>
        <v>0</v>
      </c>
      <c r="I23" s="40">
        <f>IF(CAMBIOS!R23=1,N(CAMBIOS!G23),0)</f>
        <v>0</v>
      </c>
      <c r="J23" s="30">
        <f>CAMBIOS!K23</f>
        <v>1</v>
      </c>
      <c r="K23" s="33" t="str">
        <f>CAMBIOS!L23</f>
        <v>OK</v>
      </c>
    </row>
    <row r="24" spans="1:11" x14ac:dyDescent="0.3">
      <c r="D24" s="30">
        <f>CAMBIOS!A24</f>
        <v>100</v>
      </c>
      <c r="E24" s="39">
        <v>2</v>
      </c>
      <c r="F24" s="27" t="str">
        <f>CAMBIOS!B24</f>
        <v>Solo 5 € (Calimocho)</v>
      </c>
      <c r="G24" s="40">
        <f>IF(CAMBIOS!P24=1,N(CAMBIOS!C24),0)</f>
        <v>0</v>
      </c>
      <c r="H24" s="40">
        <f>IF(CAMBIOS!Q24=1,N(CAMBIOS!E24),0)</f>
        <v>20</v>
      </c>
      <c r="I24" s="40">
        <f>IF(CAMBIOS!R24=1,N(CAMBIOS!G24),0)</f>
        <v>0</v>
      </c>
      <c r="J24" s="30">
        <f>CAMBIOS!K24</f>
        <v>0</v>
      </c>
      <c r="K24" s="33" t="str">
        <f>CAMBIOS!L24</f>
        <v>OK</v>
      </c>
    </row>
    <row r="25" spans="1:11" x14ac:dyDescent="0.3">
      <c r="D25" s="30">
        <f>CAMBIOS!A25</f>
        <v>100</v>
      </c>
      <c r="E25" s="39">
        <v>3</v>
      </c>
      <c r="F25" s="27" t="str">
        <f>CAMBIOS!B25</f>
        <v>Solo 7 € (Cubata)</v>
      </c>
      <c r="G25" s="40">
        <f>IF(CAMBIOS!P25=1,N(CAMBIOS!C25),0)</f>
        <v>0</v>
      </c>
      <c r="H25" s="40">
        <f>IF(CAMBIOS!Q25=1,N(CAMBIOS!E25),0)</f>
        <v>0</v>
      </c>
      <c r="I25" s="40">
        <f>IF(CAMBIOS!R25=1,N(CAMBIOS!G25),0)</f>
        <v>14</v>
      </c>
      <c r="J25" s="30">
        <f>CAMBIOS!K25</f>
        <v>2</v>
      </c>
      <c r="K25" s="33" t="str">
        <f>CAMBIOS!L25</f>
        <v>OK</v>
      </c>
    </row>
    <row r="26" spans="1:11" x14ac:dyDescent="0.3">
      <c r="D26" s="30">
        <f>CAMBIOS!A26</f>
        <v>100</v>
      </c>
      <c r="E26" s="39">
        <v>4</v>
      </c>
      <c r="F26" s="27" t="str">
        <f>CAMBIOS!B26</f>
        <v>3 € + 5 € (Cerveza + Calimocho)</v>
      </c>
      <c r="G26" s="40">
        <f>IF(CAMBIOS!P26=1,N(CAMBIOS!C26),0)</f>
        <v>8</v>
      </c>
      <c r="H26" s="40">
        <f>IF(CAMBIOS!Q26=1,N(CAMBIOS!E26),0)</f>
        <v>15</v>
      </c>
      <c r="I26" s="40">
        <f>IF(CAMBIOS!R26=1,N(CAMBIOS!G26),0)</f>
        <v>0</v>
      </c>
      <c r="J26" s="30">
        <f>CAMBIOS!K26</f>
        <v>1</v>
      </c>
      <c r="K26" s="33" t="str">
        <f>CAMBIOS!L26</f>
        <v>OK</v>
      </c>
    </row>
    <row r="27" spans="1:11" x14ac:dyDescent="0.3">
      <c r="D27" s="30">
        <f>CAMBIOS!A27</f>
        <v>100</v>
      </c>
      <c r="E27" s="39">
        <v>5</v>
      </c>
      <c r="F27" s="27" t="str">
        <f>CAMBIOS!B27</f>
        <v>3 € + 7 € (Cerveza + Cubata)</v>
      </c>
      <c r="G27" s="40">
        <f>IF(CAMBIOS!P27=1,N(CAMBIOS!C27),0)</f>
        <v>10</v>
      </c>
      <c r="H27" s="40">
        <f>IF(CAMBIOS!Q27=1,N(CAMBIOS!E27),0)</f>
        <v>0</v>
      </c>
      <c r="I27" s="40">
        <f>IF(CAMBIOS!R27=1,N(CAMBIOS!G27),0)</f>
        <v>10</v>
      </c>
      <c r="J27" s="30">
        <f>CAMBIOS!K27</f>
        <v>0</v>
      </c>
      <c r="K27" s="33" t="str">
        <f>CAMBIOS!L27</f>
        <v>OK</v>
      </c>
    </row>
    <row r="28" spans="1:11" x14ac:dyDescent="0.3">
      <c r="D28" s="30">
        <f>CAMBIOS!A28</f>
        <v>100</v>
      </c>
      <c r="E28" s="39">
        <v>6</v>
      </c>
      <c r="F28" s="27" t="str">
        <f>CAMBIOS!B28</f>
        <v>5 € + 7 € (Calimocho + Cubata)</v>
      </c>
      <c r="G28" s="40">
        <f>IF(CAMBIOS!P28=1,N(CAMBIOS!C28),0)</f>
        <v>0</v>
      </c>
      <c r="H28" s="40">
        <f>IF(CAMBIOS!Q28=1,N(CAMBIOS!E28),0)</f>
        <v>13</v>
      </c>
      <c r="I28" s="40">
        <f>IF(CAMBIOS!R28=1,N(CAMBIOS!G28),0)</f>
        <v>5</v>
      </c>
      <c r="J28" s="30">
        <f>CAMBIOS!K28</f>
        <v>0</v>
      </c>
      <c r="K28" s="33" t="str">
        <f>CAMBIOS!L28</f>
        <v>OK</v>
      </c>
    </row>
    <row r="29" spans="1:11" x14ac:dyDescent="0.3">
      <c r="D29" s="30">
        <f>CAMBIOS!A29</f>
        <v>200</v>
      </c>
      <c r="E29" s="39">
        <v>1</v>
      </c>
      <c r="F29" s="27" t="str">
        <f>CAMBIOS!B29</f>
        <v>Solo 3 € (Cerveza)</v>
      </c>
      <c r="G29" s="40">
        <f>IF(CAMBIOS!P29=1,N(CAMBIOS!C29),0)</f>
        <v>66</v>
      </c>
      <c r="H29" s="40">
        <f>IF(CAMBIOS!Q29=1,N(CAMBIOS!E29),0)</f>
        <v>0</v>
      </c>
      <c r="I29" s="40">
        <f>IF(CAMBIOS!R29=1,N(CAMBIOS!G29),0)</f>
        <v>0</v>
      </c>
      <c r="J29" s="30">
        <f>CAMBIOS!K29</f>
        <v>2</v>
      </c>
      <c r="K29" s="33" t="str">
        <f>CAMBIOS!L29</f>
        <v>OK</v>
      </c>
    </row>
    <row r="30" spans="1:11" x14ac:dyDescent="0.3">
      <c r="D30" s="30">
        <f>CAMBIOS!A30</f>
        <v>200</v>
      </c>
      <c r="E30" s="39">
        <v>2</v>
      </c>
      <c r="F30" s="27" t="str">
        <f>CAMBIOS!B30</f>
        <v>Solo 5 € (Calimocho)</v>
      </c>
      <c r="G30" s="40">
        <f>IF(CAMBIOS!P30=1,N(CAMBIOS!C30),0)</f>
        <v>0</v>
      </c>
      <c r="H30" s="40">
        <f>IF(CAMBIOS!Q30=1,N(CAMBIOS!E30),0)</f>
        <v>40</v>
      </c>
      <c r="I30" s="40">
        <f>IF(CAMBIOS!R30=1,N(CAMBIOS!G30),0)</f>
        <v>0</v>
      </c>
      <c r="J30" s="30">
        <f>CAMBIOS!K30</f>
        <v>0</v>
      </c>
      <c r="K30" s="33" t="str">
        <f>CAMBIOS!L30</f>
        <v>OK</v>
      </c>
    </row>
    <row r="31" spans="1:11" x14ac:dyDescent="0.3">
      <c r="D31" s="30">
        <f>CAMBIOS!A31</f>
        <v>200</v>
      </c>
      <c r="E31" s="39">
        <v>3</v>
      </c>
      <c r="F31" s="27" t="str">
        <f>CAMBIOS!B31</f>
        <v>Solo 7 € (Cubata)</v>
      </c>
      <c r="G31" s="40">
        <f>IF(CAMBIOS!P31=1,N(CAMBIOS!C31),0)</f>
        <v>0</v>
      </c>
      <c r="H31" s="40">
        <f>IF(CAMBIOS!Q31=1,N(CAMBIOS!E31),0)</f>
        <v>0</v>
      </c>
      <c r="I31" s="40">
        <f>IF(CAMBIOS!R31=1,N(CAMBIOS!G31),0)</f>
        <v>28</v>
      </c>
      <c r="J31" s="30">
        <f>CAMBIOS!K31</f>
        <v>4</v>
      </c>
      <c r="K31" s="33" t="str">
        <f>CAMBIOS!L31</f>
        <v>OK</v>
      </c>
    </row>
    <row r="32" spans="1:11" x14ac:dyDescent="0.3">
      <c r="D32" s="30">
        <f>CAMBIOS!A32</f>
        <v>200</v>
      </c>
      <c r="E32" s="39">
        <v>4</v>
      </c>
      <c r="F32" s="27" t="str">
        <f>CAMBIOS!B32</f>
        <v>3 € + 5 € (Cerveza + Calimocho)</v>
      </c>
      <c r="G32" s="40">
        <f>IF(CAMBIOS!P32=1,N(CAMBIOS!C32),0)</f>
        <v>16</v>
      </c>
      <c r="H32" s="40">
        <f>IF(CAMBIOS!Q32=1,N(CAMBIOS!E32),0)</f>
        <v>30</v>
      </c>
      <c r="I32" s="40">
        <f>IF(CAMBIOS!R32=1,N(CAMBIOS!G32),0)</f>
        <v>0</v>
      </c>
      <c r="J32" s="30">
        <f>CAMBIOS!K32</f>
        <v>2</v>
      </c>
      <c r="K32" s="33" t="str">
        <f>CAMBIOS!L32</f>
        <v>OK</v>
      </c>
    </row>
    <row r="33" spans="4:11" x14ac:dyDescent="0.3">
      <c r="D33" s="30">
        <f>CAMBIOS!A33</f>
        <v>200</v>
      </c>
      <c r="E33" s="39">
        <v>5</v>
      </c>
      <c r="F33" s="27" t="str">
        <f>CAMBIOS!B33</f>
        <v>3 € + 7 € (Cerveza + Cubata)</v>
      </c>
      <c r="G33" s="40">
        <f>IF(CAMBIOS!P33=1,N(CAMBIOS!C33),0)</f>
        <v>15</v>
      </c>
      <c r="H33" s="40">
        <f>IF(CAMBIOS!Q33=1,N(CAMBIOS!E33),0)</f>
        <v>0</v>
      </c>
      <c r="I33" s="40">
        <f>IF(CAMBIOS!R33=1,N(CAMBIOS!G33),0)</f>
        <v>22</v>
      </c>
      <c r="J33" s="30">
        <f>CAMBIOS!K33</f>
        <v>1</v>
      </c>
      <c r="K33" s="33" t="str">
        <f>CAMBIOS!L33</f>
        <v>OK</v>
      </c>
    </row>
    <row r="34" spans="4:11" x14ac:dyDescent="0.3">
      <c r="D34" s="30">
        <f>CAMBIOS!A34</f>
        <v>200</v>
      </c>
      <c r="E34" s="39">
        <v>6</v>
      </c>
      <c r="F34" s="27" t="str">
        <f>CAMBIOS!B34</f>
        <v>5 € + 7 € (Calimocho + Cubata)</v>
      </c>
      <c r="G34" s="40">
        <f>IF(CAMBIOS!P34=1,N(CAMBIOS!C34),0)</f>
        <v>0</v>
      </c>
      <c r="H34" s="40">
        <f>IF(CAMBIOS!Q34=1,N(CAMBIOS!E34),0)</f>
        <v>19</v>
      </c>
      <c r="I34" s="40">
        <f>IF(CAMBIOS!R34=1,N(CAMBIOS!G34),0)</f>
        <v>15</v>
      </c>
      <c r="J34" s="30">
        <f>CAMBIOS!K34</f>
        <v>0</v>
      </c>
      <c r="K34" s="33" t="str">
        <f>CAMBIOS!L34</f>
        <v>OK</v>
      </c>
    </row>
  </sheetData>
  <sheetProtection sheet="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19</vt:i4>
      </vt:variant>
    </vt:vector>
  </HeadingPairs>
  <TitlesOfParts>
    <vt:vector size="24" baseType="lpstr">
      <vt:lpstr>INSTRUCCIONES</vt:lpstr>
      <vt:lpstr>CONFIGURACIÓN</vt:lpstr>
      <vt:lpstr>CAMBIOS</vt:lpstr>
      <vt:lpstr>CALC_SUGERENCIA</vt:lpstr>
      <vt:lpstr>DATOS_PYTHON</vt:lpstr>
      <vt:lpstr>Bebida_1</vt:lpstr>
      <vt:lpstr>Bebida_2</vt:lpstr>
      <vt:lpstr>Bebida_3</vt:lpstr>
      <vt:lpstr>Color_1</vt:lpstr>
      <vt:lpstr>Color_2</vt:lpstr>
      <vt:lpstr>Color_3</vt:lpstr>
      <vt:lpstr>Importe_1</vt:lpstr>
      <vt:lpstr>Importe_2</vt:lpstr>
      <vt:lpstr>Importe_3</vt:lpstr>
      <vt:lpstr>Importe_4</vt:lpstr>
      <vt:lpstr>Importe_5</vt:lpstr>
      <vt:lpstr>Precio_vaso</vt:lpstr>
      <vt:lpstr>Texto_pie</vt:lpstr>
      <vt:lpstr>Texto_subtitulo</vt:lpstr>
      <vt:lpstr>Texto_tabla</vt:lpstr>
      <vt:lpstr>Texto_titulo</vt:lpstr>
      <vt:lpstr>Valor_1</vt:lpstr>
      <vt:lpstr>Valor_2</vt:lpstr>
      <vt:lpstr>Valor_3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CLAUDIA MARTINEZ VALERIO</cp:lastModifiedBy>
  <dcterms:created xsi:type="dcterms:W3CDTF">2026-10-06T18:18:36Z</dcterms:created>
  <dcterms:modified xsi:type="dcterms:W3CDTF">2026-10-06T19:50:07Z</dcterms:modified>
</cp:coreProperties>
</file>